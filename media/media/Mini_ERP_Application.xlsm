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smi\Desktop\"/>
    </mc:Choice>
  </mc:AlternateContent>
  <xr:revisionPtr revIDLastSave="0" documentId="8_{173128F1-49B4-4ACC-8C06-22EEBA2217E4}" xr6:coauthVersionLast="45" xr6:coauthVersionMax="45" xr10:uidLastSave="{00000000-0000-0000-0000-000000000000}"/>
  <bookViews>
    <workbookView xWindow="-110" yWindow="490" windowWidth="22780" windowHeight="14660" tabRatio="678" xr2:uid="{00000000-000D-0000-FFFF-FFFF00000000}"/>
  </bookViews>
  <sheets>
    <sheet name="ERP" sheetId="1" r:id="rId1"/>
    <sheet name="Invoices" sheetId="3" r:id="rId2"/>
    <sheet name="Lists" sheetId="2" r:id="rId3"/>
    <sheet name="Invoice Items" sheetId="4" r:id="rId4"/>
    <sheet name="Purchases" sheetId="5" r:id="rId5"/>
    <sheet name="PurchItems" sheetId="6" r:id="rId6"/>
    <sheet name="Customers" sheetId="7" r:id="rId7"/>
    <sheet name="Inventory Items" sheetId="8" r:id="rId8"/>
    <sheet name="Transactions" sheetId="9" r:id="rId9"/>
  </sheets>
  <definedNames>
    <definedName name="_xlnm._FilterDatabase" localSheetId="1" hidden="1">Invoices!$B$2:$C$9</definedName>
    <definedName name="_xlnm._FilterDatabase" localSheetId="8" hidden="1">Transactions!$C$3:$D$10</definedName>
    <definedName name="Accounts">OFFSET(Lists!$C$5,,,COUNTA(Lists!$C$5:$C$30),1)</definedName>
    <definedName name="Category">OFFSET(Lists!$F$4,,,COUNTA(Lists!$F$4:$F$30),1)</definedName>
    <definedName name="_xlnm.Criteria" localSheetId="1">Invoices!$H$2:$I$3</definedName>
    <definedName name="_xlnm.Criteria" localSheetId="8">Transactions!$K$2:$K$3</definedName>
    <definedName name="Customers">OFFSET(Customers!$B$3,,,COUNTA(Customers!$B$3:$B9997),1)</definedName>
    <definedName name="EndDate">ERP!$AE$2</definedName>
    <definedName name="_xlnm.Extract" localSheetId="1">Invoices!$J$2</definedName>
    <definedName name="_xlnm.Extract" localSheetId="8">Transactions!$P$2</definedName>
    <definedName name="Inv_ItemName">OFFSET('Invoice Items'!$B$2,1,,COUNTA('Invoice Items'!$A$2:$A$999)-1,1)</definedName>
    <definedName name="Inv_ItemQty">OFFSET('Invoice Items'!$D$2,1,,COUNTA('Invoice Items'!$A$2:$A$999)-1,1)</definedName>
    <definedName name="InvNumb">OFFSET(Invoices!$A$3,,,COUNTA(Invoices!$A$3:$A$9999),1)</definedName>
    <definedName name="Items">OFFSET('Inventory Items'!$A$3,,,COUNTA('Inventory Items'!$A$3:$A$9999),1)</definedName>
    <definedName name="Purch_ItemName">OFFSET(PurchItems!$B$2,1,,COUNTA(PurchItems!$A$2:$A$9999)-1,1)</definedName>
    <definedName name="Purch_ItemQty">OFFSET(PurchItems!$D$2,1,,COUNTA(PurchItems!$A$2:$A$9999)-1,1)</definedName>
    <definedName name="PurchNumb">OFFSET(Purchases!$A$3,,,COUNTA(Purchases!$A$3:$A$9999),1)</definedName>
    <definedName name="StartDate">ERP!$AC$2</definedName>
    <definedName name="Trans_Acct">OFFSET(Transactions!$C$3,1,,COUNTA(Transactions!$A$3:$A$9999)-1,1)</definedName>
    <definedName name="Trans_Amount">OFFSET(Transactions!$B$3,1,,COUNTA(Transactions!$A$3:$A$9999)-1,1)</definedName>
    <definedName name="Trans_Date">OFFSET(Transactions!$A$3,1,,COUNTA(Transactions!$A$3:$A$9999)-1,1)</definedName>
    <definedName name="Vendors">OFFSET(Lists!$H$4,,,COUNTA(Lists!$H$4:$H$30),1)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0" i="1" l="1"/>
  <c r="X9" i="1"/>
  <c r="X8" i="1"/>
  <c r="Q10" i="1"/>
  <c r="Q9" i="1"/>
  <c r="Q8" i="1"/>
  <c r="N3" i="9"/>
  <c r="J3" i="8"/>
  <c r="I3" i="8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37" i="3"/>
  <c r="K38" i="3"/>
  <c r="H3" i="3"/>
  <c r="B7" i="1"/>
  <c r="B6" i="1"/>
  <c r="X6" i="1" l="1"/>
  <c r="Q6" i="1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4" i="9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4" i="8"/>
  <c r="I5" i="8"/>
  <c r="I6" i="8"/>
  <c r="I7" i="8"/>
  <c r="I8" i="8"/>
  <c r="I9" i="8"/>
  <c r="I10" i="8"/>
  <c r="I11" i="8"/>
  <c r="I12" i="8"/>
  <c r="I13" i="8"/>
  <c r="I14" i="8"/>
  <c r="I15" i="8"/>
  <c r="I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B4" i="1"/>
  <c r="K15" i="8" l="1"/>
  <c r="K5" i="8"/>
  <c r="K11" i="8"/>
  <c r="K7" i="8"/>
  <c r="K13" i="8"/>
  <c r="K10" i="8"/>
  <c r="K12" i="8"/>
  <c r="K8" i="8"/>
  <c r="K6" i="8"/>
  <c r="K4" i="8"/>
  <c r="K9" i="8"/>
  <c r="K14" i="8"/>
  <c r="K3" i="8"/>
</calcChain>
</file>

<file path=xl/sharedStrings.xml><?xml version="1.0" encoding="utf-8"?>
<sst xmlns="http://schemas.openxmlformats.org/spreadsheetml/2006/main" count="521" uniqueCount="254">
  <si>
    <t>MINI ERP APPLICATION</t>
  </si>
  <si>
    <t>INCOME &amp; EXPENSES</t>
  </si>
  <si>
    <t>Account</t>
  </si>
  <si>
    <t>Amount</t>
  </si>
  <si>
    <t>Category</t>
  </si>
  <si>
    <t>INVOICING &amp; SALES</t>
  </si>
  <si>
    <t>Customer</t>
  </si>
  <si>
    <t>Item</t>
  </si>
  <si>
    <t>Description</t>
  </si>
  <si>
    <t>QTY</t>
  </si>
  <si>
    <t>Total</t>
  </si>
  <si>
    <t>Date</t>
  </si>
  <si>
    <t>PURCHASE ORDER</t>
  </si>
  <si>
    <t>Vendor</t>
  </si>
  <si>
    <t>REPORTS &amp; GRAPHS</t>
  </si>
  <si>
    <t>Sales By Customer</t>
  </si>
  <si>
    <t>Sel. Rep. Row</t>
  </si>
  <si>
    <t>Customer List</t>
  </si>
  <si>
    <t>Cust ID</t>
  </si>
  <si>
    <t>Name</t>
  </si>
  <si>
    <t>Office #</t>
  </si>
  <si>
    <t>Mobile #</t>
  </si>
  <si>
    <t>Type</t>
  </si>
  <si>
    <t>Email</t>
  </si>
  <si>
    <t>Status</t>
  </si>
  <si>
    <t>Website</t>
  </si>
  <si>
    <t>Address</t>
  </si>
  <si>
    <t>City</t>
  </si>
  <si>
    <t>State</t>
  </si>
  <si>
    <t>Zip</t>
  </si>
  <si>
    <t>Notes</t>
  </si>
  <si>
    <t>Asia Electric</t>
  </si>
  <si>
    <t>Prospect</t>
  </si>
  <si>
    <t>tempor.lorem@dictum.org</t>
  </si>
  <si>
    <t>Active</t>
  </si>
  <si>
    <t>www.Google.com</t>
  </si>
  <si>
    <t>P.O. Box 148, 1324 Iaculis Av.</t>
  </si>
  <si>
    <t>Warren</t>
  </si>
  <si>
    <t>MI</t>
  </si>
  <si>
    <t>luctus sit amet, faucibus ut, nulla. Cras eu tellus eu</t>
  </si>
  <si>
    <t xml:space="preserve">  </t>
  </si>
  <si>
    <t>Erat Inc.</t>
  </si>
  <si>
    <t>Lead</t>
  </si>
  <si>
    <t>ante.blandit@id.com</t>
  </si>
  <si>
    <t>P.O. Box 257, 6235 Pharetra, Rd.</t>
  </si>
  <si>
    <t>Wyoming</t>
  </si>
  <si>
    <t>WY</t>
  </si>
  <si>
    <t>mauris sit amet lorem semper auctor. Mauris vel turpis. Aliquam</t>
  </si>
  <si>
    <t>Sit LLP</t>
  </si>
  <si>
    <t>auctor.velit@eleifend.co.uk</t>
  </si>
  <si>
    <t>2646 Eu Rd.</t>
  </si>
  <si>
    <t>Indianapolis</t>
  </si>
  <si>
    <t>IN</t>
  </si>
  <si>
    <t>eu turpis. Nulla aliquet. Proin velit. Sed malesuada augue ut</t>
  </si>
  <si>
    <t>Fermentum Institute</t>
  </si>
  <si>
    <t>.lobortis@liberoduinec.edu</t>
  </si>
  <si>
    <t>106-1114 Interdum. Road</t>
  </si>
  <si>
    <t>South Bend</t>
  </si>
  <si>
    <t>dictum placerat, augue. Sed molestie. Sed id risus quis diam</t>
  </si>
  <si>
    <t>Egestas A Inc.</t>
  </si>
  <si>
    <t>vitae@viverraDonectempus.ca</t>
  </si>
  <si>
    <t>662-4582 Porttitor Rd.</t>
  </si>
  <si>
    <t>Oklahoma City</t>
  </si>
  <si>
    <t>Oklahoma</t>
  </si>
  <si>
    <t>Quisque ac libero nec ligula consectetuer rhoncus. Nullam velit dui,</t>
  </si>
  <si>
    <t>Ornare Company</t>
  </si>
  <si>
    <t>dictuu@maurissagittisplacerat.edu</t>
  </si>
  <si>
    <t>Ap #577-7501 Purus, Street</t>
  </si>
  <si>
    <t>San Francisco</t>
  </si>
  <si>
    <t>CA</t>
  </si>
  <si>
    <t>mauris a nunc. In at pede. Cras vulputate velit eu</t>
  </si>
  <si>
    <t>Purus Duis Elementum Industries</t>
  </si>
  <si>
    <t>leo.elementum@metus.co.uk</t>
  </si>
  <si>
    <t>Inactive</t>
  </si>
  <si>
    <t>P.O. Box 421, 5390 Ultrices Rd.</t>
  </si>
  <si>
    <t>Pittsburgh</t>
  </si>
  <si>
    <t>PA</t>
  </si>
  <si>
    <t>ultricies adipiscing, enim mi tempor lorem, eget mollis lectus pede</t>
  </si>
  <si>
    <t>Mus LLC</t>
  </si>
  <si>
    <t>blandit.Nam@adipiscinglacus.net</t>
  </si>
  <si>
    <t>560-6072 Luctus, St.</t>
  </si>
  <si>
    <t>Frederick</t>
  </si>
  <si>
    <t>Maryland</t>
  </si>
  <si>
    <t>augue id ante dictum cursus. Nunc mauris elit, dictum eu,</t>
  </si>
  <si>
    <t>Sit Industries</t>
  </si>
  <si>
    <t>ante.Vivamus@Donecnibhenim.edu</t>
  </si>
  <si>
    <t>P.O. Box 945, 3675 Ullamcorper Street</t>
  </si>
  <si>
    <t>Gillette</t>
  </si>
  <si>
    <t>posuere, enim nisl elementum purus, accumsan interdum libero dui nec</t>
  </si>
  <si>
    <t>Metus Vitae Velit Consulting</t>
  </si>
  <si>
    <t>erat.Sed@Curabiturvel.net</t>
  </si>
  <si>
    <t>593-4880 Vitae St.</t>
  </si>
  <si>
    <t>College</t>
  </si>
  <si>
    <t>Alaska</t>
  </si>
  <si>
    <t>In mi pede, nonummy ut, molestie in, tempus eu, ligula.</t>
  </si>
  <si>
    <t>Lacus Quisque Consulting</t>
  </si>
  <si>
    <t>vehicula@felis.edu</t>
  </si>
  <si>
    <t>Ap #556-4411 Rutrum Street</t>
  </si>
  <si>
    <t>Mobile</t>
  </si>
  <si>
    <t>Alabama</t>
  </si>
  <si>
    <t>nunc sit amet metus. Aliquam erat volutpat. Nulla facilisis. Suspendisse</t>
  </si>
  <si>
    <t>Posuere Cubilia Inc.</t>
  </si>
  <si>
    <t>aliquam.arcu@eteuismodet.org</t>
  </si>
  <si>
    <t>438-5218 Suspendisse Rd.</t>
  </si>
  <si>
    <t>Racine</t>
  </si>
  <si>
    <t>Wisconsin</t>
  </si>
  <si>
    <t>lorem, sit amet ultricies sem magna nec quam. Curabitur vel</t>
  </si>
  <si>
    <t>Ut Dolor Associates</t>
  </si>
  <si>
    <t>dui.semper.et@Nullam.edu</t>
  </si>
  <si>
    <t>1016 Convallis Rd.</t>
  </si>
  <si>
    <t>Shreveport</t>
  </si>
  <si>
    <t>Louisiana</t>
  </si>
  <si>
    <t>rutrum urna, nec luctus felis purus ac tellus. Suspendisse sed</t>
  </si>
  <si>
    <t>Sodales Nisi Industries</t>
  </si>
  <si>
    <t>non@pharetranibhAliquam.org</t>
  </si>
  <si>
    <t>6437 Mi Avenue</t>
  </si>
  <si>
    <t>Sioux City</t>
  </si>
  <si>
    <t>IA</t>
  </si>
  <si>
    <t>ut lacus. Nulla tincidunt, neque vitae semper egestas, urna justo</t>
  </si>
  <si>
    <t>Tellus Nunc Lectus Limited</t>
  </si>
  <si>
    <t>Nullam.lobortis@quamafelis.edu</t>
  </si>
  <si>
    <t>Ap #785-6421 Nulla Rd.</t>
  </si>
  <si>
    <t>Grand Island</t>
  </si>
  <si>
    <t>Nebraska</t>
  </si>
  <si>
    <t>massa lobortis ultrices. Vivamus rhoncus. Donec est. Nunc ullamcorper, velit</t>
  </si>
  <si>
    <t>Morbi Neque Company</t>
  </si>
  <si>
    <t>mauris.rhoncus@leo.com</t>
  </si>
  <si>
    <t>Ap #989-7612 A Avenue</t>
  </si>
  <si>
    <t>Boise</t>
  </si>
  <si>
    <t>ID</t>
  </si>
  <si>
    <t>amet ultricies sem magna nec quam. Curabitur vel lectus. Cum</t>
  </si>
  <si>
    <t>Quis Diam LLP</t>
  </si>
  <si>
    <t>mi.Duis@feugiat.co.uk</t>
  </si>
  <si>
    <t>3365 Fermentum St.</t>
  </si>
  <si>
    <t>Boston</t>
  </si>
  <si>
    <t>Massachusetts</t>
  </si>
  <si>
    <t>arcu iaculis enim, sit amet ornare lectus justo eu arcu.</t>
  </si>
  <si>
    <t>Nunc Ac Company</t>
  </si>
  <si>
    <t>quis@consectetuer.org</t>
  </si>
  <si>
    <t>Ap #957-6656 Sed Rd.</t>
  </si>
  <si>
    <t>Kenosha</t>
  </si>
  <si>
    <t>WI</t>
  </si>
  <si>
    <t>mi, ac mattis velit justo nec ante. Maecenas mi felis,</t>
  </si>
  <si>
    <t>Sit Foundation</t>
  </si>
  <si>
    <t>sem@loremeu.co.uk</t>
  </si>
  <si>
    <t>Ap #937-7448 Duis Street</t>
  </si>
  <si>
    <t>Bear</t>
  </si>
  <si>
    <t>DE</t>
  </si>
  <si>
    <t>diam nunc, ullamcorper eu, euismod ac, fermentum vel, mauris. Integer</t>
  </si>
  <si>
    <t>Elit A Feugiat LLC</t>
  </si>
  <si>
    <t>netus@Suspendisse.co.uk</t>
  </si>
  <si>
    <t>4697 Nibh. Street</t>
  </si>
  <si>
    <t>Biloxi</t>
  </si>
  <si>
    <t>Mississippi</t>
  </si>
  <si>
    <t>ligula. Nullam enim. Sed nulla ante, iaculis nec, eleifend non,</t>
  </si>
  <si>
    <t>Arcu Associates</t>
  </si>
  <si>
    <t>risus.In@parturientmontes.edu</t>
  </si>
  <si>
    <t>Ap #191-923 Vitae Ave</t>
  </si>
  <si>
    <t>Gresham</t>
  </si>
  <si>
    <t>OR</t>
  </si>
  <si>
    <t>enim. Sed nulla ante, iaculis nec, eleifend non, dapibus rutrum,</t>
  </si>
  <si>
    <t>Sales Price</t>
  </si>
  <si>
    <t>Purch. Qty</t>
  </si>
  <si>
    <t>LADIES ONLY T-SHIRT</t>
  </si>
  <si>
    <t>LADIES PERFECT T</t>
  </si>
  <si>
    <t>PERFECT PRO T-SHIRT</t>
  </si>
  <si>
    <t>LADIES TOO CHIC T-SHIRT</t>
  </si>
  <si>
    <t>KIDS EXACT 190 T-SHIRT</t>
  </si>
  <si>
    <t>ADULT T-SHIRT</t>
  </si>
  <si>
    <t>HUNKY SUPERIOR T</t>
  </si>
  <si>
    <t>HEAVY COTTON YOUTH T SHIRT</t>
  </si>
  <si>
    <t>ULTRA COTTON ADULT T SHIRT</t>
  </si>
  <si>
    <t>MENS TOO CHIC T-SHIRT</t>
  </si>
  <si>
    <t>EXACT 150 T-SHIRT</t>
  </si>
  <si>
    <t>KIDS EXACT 150 T-SHIRT</t>
  </si>
  <si>
    <t>Icem Cost</t>
  </si>
  <si>
    <t>Iventory Item</t>
  </si>
  <si>
    <t>Item Name</t>
  </si>
  <si>
    <t>Item Description</t>
  </si>
  <si>
    <t>Account Name</t>
  </si>
  <si>
    <t>Income</t>
  </si>
  <si>
    <t>Categories</t>
  </si>
  <si>
    <t>Memo</t>
  </si>
  <si>
    <t>Next Inv. ID</t>
  </si>
  <si>
    <t>Next PO ID</t>
  </si>
  <si>
    <t>Invoice List</t>
  </si>
  <si>
    <t>Inv. #</t>
  </si>
  <si>
    <t>Rental Income</t>
  </si>
  <si>
    <t>Customer Sales</t>
  </si>
  <si>
    <t>Interest Earned</t>
  </si>
  <si>
    <t>Transactions</t>
  </si>
  <si>
    <t>G3</t>
  </si>
  <si>
    <t>I3</t>
  </si>
  <si>
    <t>G5</t>
  </si>
  <si>
    <t>I5</t>
  </si>
  <si>
    <t>G7</t>
  </si>
  <si>
    <t>Utilities</t>
  </si>
  <si>
    <t>Office Lease</t>
  </si>
  <si>
    <t>Meals</t>
  </si>
  <si>
    <t>Entertainment</t>
  </si>
  <si>
    <t>Supplies</t>
  </si>
  <si>
    <t>Expense</t>
  </si>
  <si>
    <t>Income &amp; Expense Accounts</t>
  </si>
  <si>
    <t>Office</t>
  </si>
  <si>
    <t>Personal</t>
  </si>
  <si>
    <t>Family</t>
  </si>
  <si>
    <t>Groceries &amp; Food</t>
  </si>
  <si>
    <t>Outside Job</t>
  </si>
  <si>
    <t>Test</t>
  </si>
  <si>
    <t>Purchases  List</t>
  </si>
  <si>
    <t>INVOICE ITEMS</t>
  </si>
  <si>
    <t>LADIES T-SHIRT</t>
  </si>
  <si>
    <t>PERFECT PRO SHIRT</t>
  </si>
  <si>
    <t>LADIES CHIC SHIRT</t>
  </si>
  <si>
    <t>KIDS  190 T-SHIRT</t>
  </si>
  <si>
    <t>HUNKY SUPERIOR</t>
  </si>
  <si>
    <t>HEAVY YOUTH T</t>
  </si>
  <si>
    <t>ULTRA ADULT T</t>
  </si>
  <si>
    <t>MENS CHIC T-SHIRT</t>
  </si>
  <si>
    <t>KIDS EXACT 150 T</t>
  </si>
  <si>
    <t>Vendors</t>
  </si>
  <si>
    <t>Home Depot</t>
  </si>
  <si>
    <t>Ace Hardward</t>
  </si>
  <si>
    <t>Ceramics Plus</t>
  </si>
  <si>
    <t>Fredders Tile</t>
  </si>
  <si>
    <t>Johnson Plubming</t>
  </si>
  <si>
    <t>PURCHASE ITEMS</t>
  </si>
  <si>
    <t>Purh. #</t>
  </si>
  <si>
    <t>Acct Type</t>
  </si>
  <si>
    <t>B4</t>
  </si>
  <si>
    <t>Total Sales</t>
  </si>
  <si>
    <t>August Rental Income</t>
  </si>
  <si>
    <t>Purchased</t>
  </si>
  <si>
    <t>Sold</t>
  </si>
  <si>
    <t>In Stock</t>
  </si>
  <si>
    <t>Inventory Stock Report</t>
  </si>
  <si>
    <t>Steak Dinner</t>
  </si>
  <si>
    <t>Office B-Day Cake</t>
  </si>
  <si>
    <t>Income Results</t>
  </si>
  <si>
    <t>Expense Results</t>
  </si>
  <si>
    <t>Criteria</t>
  </si>
  <si>
    <t>Business Sales</t>
  </si>
  <si>
    <t>PO. #</t>
  </si>
  <si>
    <t>Customer Name</t>
  </si>
  <si>
    <t>Invoice Total:</t>
  </si>
  <si>
    <t>Qty</t>
  </si>
  <si>
    <t>Vendor Name</t>
  </si>
  <si>
    <t>Purchase Total:</t>
  </si>
  <si>
    <t>Income &amp; Expenses</t>
  </si>
  <si>
    <t>From</t>
  </si>
  <si>
    <t>To</t>
  </si>
  <si>
    <t>Rent inc for December</t>
  </si>
  <si>
    <t>Criter &amp; Results</t>
  </si>
  <si>
    <t>December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</si>
</sst>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1"/>
      <name val="Calibri"/>
      <family val="2"/>
      <scheme val="minor"/>
    </font>
    <font>
      <u/>
      <sz val="11"/>
      <name val="Calibri"/>
      <family val="2"/>
    </font>
    <font>
      <u/>
      <sz val="11"/>
      <name val="Calibri"/>
      <family val="2"/>
      <scheme val="minor"/>
    </font>
    <font>
      <sz val="30"/>
      <color theme="2" tint="-0.749992370372631"/>
      <name val="Arial Rounded MT Bold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2" tint="-0.49803155613879818"/>
        </stop>
        <stop position="1">
          <color theme="2" tint="-0.25098422193060094"/>
        </stop>
      </gradient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theme="2" tint="-0.749961851863155"/>
      </left>
      <right style="hair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hair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 style="hair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hair">
        <color theme="2" tint="-0.749961851863155"/>
      </right>
      <top style="thin">
        <color theme="2" tint="-0.749961851863155"/>
      </top>
      <bottom/>
      <diagonal/>
    </border>
    <border>
      <left style="hair">
        <color theme="2" tint="-0.749961851863155"/>
      </left>
      <right style="hair">
        <color theme="2" tint="-0.749961851863155"/>
      </right>
      <top style="thin">
        <color theme="2" tint="-0.749961851863155"/>
      </top>
      <bottom/>
      <diagonal/>
    </border>
    <border>
      <left style="hair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theme="2" tint="-0.749961851863155"/>
      </left>
      <right style="hair">
        <color theme="2" tint="-0.749961851863155"/>
      </right>
      <top/>
      <bottom/>
      <diagonal/>
    </border>
    <border>
      <left style="hair">
        <color theme="2" tint="-0.749961851863155"/>
      </left>
      <right style="hair">
        <color theme="2" tint="-0.749961851863155"/>
      </right>
      <top/>
      <bottom/>
      <diagonal/>
    </border>
    <border>
      <left style="hair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theme="2" tint="-0.749961851863155"/>
      </left>
      <right style="hair">
        <color theme="2" tint="-0.749961851863155"/>
      </right>
      <top/>
      <bottom style="thin">
        <color theme="2" tint="-0.749961851863155"/>
      </bottom>
      <diagonal/>
    </border>
    <border>
      <left style="hair">
        <color theme="2" tint="-0.749961851863155"/>
      </left>
      <right style="hair">
        <color theme="2" tint="-0.749961851863155"/>
      </right>
      <top/>
      <bottom style="thin">
        <color theme="2" tint="-0.749961851863155"/>
      </bottom>
      <diagonal/>
    </border>
    <border>
      <left style="hair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/>
      <bottom/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/>
      <right/>
      <top/>
      <bottom style="thin">
        <color theme="4" tint="-0.24994659260841701"/>
      </bottom>
      <diagonal/>
    </border>
    <border>
      <left style="medium">
        <color theme="7" tint="-0.499984740745262"/>
      </left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 style="thin">
        <color theme="7" tint="-0.499984740745262"/>
      </right>
      <top style="medium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medium">
        <color theme="7" tint="-0.499984740745262"/>
      </right>
      <top style="medium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medium">
        <color theme="7" tint="-0.499984740745262"/>
      </right>
      <top style="thin">
        <color theme="7" tint="-0.499984740745262"/>
      </top>
      <bottom/>
      <diagonal/>
    </border>
    <border>
      <left style="medium">
        <color theme="7" tint="-0.499984740745262"/>
      </left>
      <right style="hair">
        <color theme="7" tint="-0.499984740745262"/>
      </right>
      <top style="thin">
        <color theme="7" tint="-0.499984740745262"/>
      </top>
      <bottom/>
      <diagonal/>
    </border>
    <border>
      <left style="hair">
        <color theme="7" tint="-0.499984740745262"/>
      </left>
      <right style="medium">
        <color theme="7" tint="-0.499984740745262"/>
      </right>
      <top style="thin">
        <color theme="7" tint="-0.499984740745262"/>
      </top>
      <bottom/>
      <diagonal/>
    </border>
    <border>
      <left style="medium">
        <color theme="7" tint="-0.499984740745262"/>
      </left>
      <right style="hair">
        <color theme="7" tint="-0.499984740745262"/>
      </right>
      <top/>
      <bottom/>
      <diagonal/>
    </border>
    <border>
      <left style="hair">
        <color theme="7" tint="-0.499984740745262"/>
      </left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 style="hair">
        <color theme="7" tint="-0.499984740745262"/>
      </right>
      <top/>
      <bottom style="medium">
        <color theme="7" tint="-0.499984740745262"/>
      </bottom>
      <diagonal/>
    </border>
    <border>
      <left style="hair">
        <color theme="7" tint="-0.499984740745262"/>
      </left>
      <right style="medium">
        <color theme="7" tint="-0.499984740745262"/>
      </right>
      <top/>
      <bottom style="medium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thin">
        <color theme="7" tint="-0.499984740745262"/>
      </top>
      <bottom/>
      <diagonal/>
    </border>
    <border>
      <left style="medium">
        <color theme="7" tint="-0.499984740745262"/>
      </left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 style="medium">
        <color theme="7" tint="-0.499984740745262"/>
      </right>
      <top/>
      <bottom style="medium">
        <color theme="7" tint="-0.499984740745262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1" fillId="8" borderId="1">
      <alignment horizontal="right"/>
    </xf>
    <xf numFmtId="0" fontId="1" fillId="9" borderId="2">
      <alignment horizontal="left"/>
    </xf>
    <xf numFmtId="0" fontId="11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4" borderId="0" xfId="0" applyFill="1"/>
    <xf numFmtId="0" fontId="0" fillId="8" borderId="0" xfId="0" applyFill="1"/>
    <xf numFmtId="0" fontId="3" fillId="3" borderId="0" xfId="0" applyFont="1" applyFill="1" applyAlignment="1">
      <alignment horizontal="center" vertical="top"/>
    </xf>
    <xf numFmtId="0" fontId="1" fillId="9" borderId="2" xfId="3">
      <alignment horizontal="left"/>
    </xf>
    <xf numFmtId="0" fontId="1" fillId="8" borderId="1" xfId="2">
      <alignment horizontal="right"/>
    </xf>
    <xf numFmtId="0" fontId="4" fillId="2" borderId="0" xfId="0" applyFont="1" applyFill="1"/>
    <xf numFmtId="0" fontId="4" fillId="8" borderId="0" xfId="0" applyFont="1" applyFill="1"/>
    <xf numFmtId="0" fontId="4" fillId="0" borderId="0" xfId="0" applyFont="1"/>
    <xf numFmtId="0" fontId="0" fillId="8" borderId="1" xfId="2" applyFont="1">
      <alignment horizontal="right"/>
    </xf>
    <xf numFmtId="0" fontId="4" fillId="10" borderId="4" xfId="0" applyFont="1" applyFill="1" applyBorder="1"/>
    <xf numFmtId="0" fontId="4" fillId="10" borderId="4" xfId="0" applyFont="1" applyFill="1" applyBorder="1" applyAlignment="1">
      <alignment horizontal="left"/>
    </xf>
    <xf numFmtId="0" fontId="9" fillId="12" borderId="15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2" fillId="0" borderId="0" xfId="4" applyFont="1"/>
    <xf numFmtId="0" fontId="13" fillId="0" borderId="0" xfId="4" applyFont="1"/>
    <xf numFmtId="0" fontId="2" fillId="13" borderId="16" xfId="0" applyFont="1" applyFill="1" applyBorder="1" applyAlignment="1">
      <alignment horizontal="center"/>
    </xf>
    <xf numFmtId="44" fontId="2" fillId="13" borderId="16" xfId="1" applyFont="1" applyFill="1" applyBorder="1" applyAlignment="1">
      <alignment horizontal="center"/>
    </xf>
    <xf numFmtId="0" fontId="0" fillId="0" borderId="0" xfId="0" applyBorder="1"/>
    <xf numFmtId="7" fontId="0" fillId="0" borderId="0" xfId="1" applyNumberFormat="1" applyFont="1" applyBorder="1"/>
    <xf numFmtId="44" fontId="0" fillId="0" borderId="0" xfId="1" applyFont="1" applyBorder="1"/>
    <xf numFmtId="0" fontId="0" fillId="0" borderId="17" xfId="0" applyBorder="1"/>
    <xf numFmtId="7" fontId="0" fillId="0" borderId="17" xfId="1" applyNumberFormat="1" applyFont="1" applyBorder="1"/>
    <xf numFmtId="0" fontId="2" fillId="13" borderId="18" xfId="0" applyFont="1" applyFill="1" applyBorder="1" applyAlignment="1">
      <alignment horizontal="center"/>
    </xf>
    <xf numFmtId="44" fontId="0" fillId="0" borderId="19" xfId="1" applyFont="1" applyBorder="1"/>
    <xf numFmtId="44" fontId="0" fillId="0" borderId="20" xfId="1" applyFont="1" applyBorder="1"/>
    <xf numFmtId="0" fontId="2" fillId="17" borderId="4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12" borderId="25" xfId="0" applyFont="1" applyFill="1" applyBorder="1" applyAlignment="1">
      <alignment horizontal="center"/>
    </xf>
    <xf numFmtId="0" fontId="2" fillId="12" borderId="26" xfId="0" applyFont="1" applyFill="1" applyBorder="1" applyAlignment="1">
      <alignment horizontal="center"/>
    </xf>
    <xf numFmtId="0" fontId="2" fillId="12" borderId="22" xfId="0" applyFont="1" applyFill="1" applyBorder="1" applyAlignment="1">
      <alignment horizontal="center"/>
    </xf>
    <xf numFmtId="0" fontId="0" fillId="0" borderId="27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14" fontId="0" fillId="0" borderId="0" xfId="0" applyNumberFormat="1"/>
    <xf numFmtId="7" fontId="0" fillId="0" borderId="0" xfId="0" applyNumberFormat="1"/>
    <xf numFmtId="0" fontId="0" fillId="16" borderId="4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44" fontId="0" fillId="0" borderId="0" xfId="0" applyNumberFormat="1"/>
    <xf numFmtId="0" fontId="5" fillId="4" borderId="1" xfId="0" applyFont="1" applyFill="1" applyBorder="1" applyAlignment="1">
      <alignment horizontal="right"/>
    </xf>
    <xf numFmtId="14" fontId="5" fillId="9" borderId="2" xfId="0" applyNumberFormat="1" applyFont="1" applyFill="1" applyBorder="1" applyAlignment="1">
      <alignment horizontal="left"/>
    </xf>
    <xf numFmtId="0" fontId="5" fillId="4" borderId="3" xfId="0" applyFont="1" applyFill="1" applyBorder="1" applyAlignment="1">
      <alignment horizontal="right"/>
    </xf>
    <xf numFmtId="0" fontId="5" fillId="8" borderId="0" xfId="0" applyFont="1" applyFill="1" applyAlignment="1">
      <alignment horizontal="center"/>
    </xf>
    <xf numFmtId="44" fontId="0" fillId="8" borderId="0" xfId="1" applyFont="1" applyFill="1"/>
    <xf numFmtId="0" fontId="0" fillId="0" borderId="0" xfId="0" applyAlignment="1"/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vertical="top"/>
    </xf>
    <xf numFmtId="0" fontId="0" fillId="4" borderId="0" xfId="0" applyFill="1" applyBorder="1"/>
    <xf numFmtId="0" fontId="4" fillId="8" borderId="0" xfId="0" applyFont="1" applyFill="1" applyBorder="1"/>
    <xf numFmtId="0" fontId="5" fillId="8" borderId="0" xfId="0" applyFont="1" applyFill="1" applyBorder="1" applyAlignment="1">
      <alignment horizontal="center"/>
    </xf>
    <xf numFmtId="0" fontId="5" fillId="8" borderId="0" xfId="0" applyNumberFormat="1" applyFont="1" applyFill="1" applyBorder="1" applyAlignment="1">
      <alignment horizontal="center"/>
    </xf>
    <xf numFmtId="0" fontId="6" fillId="8" borderId="0" xfId="2" applyFont="1" applyFill="1" applyBorder="1">
      <alignment horizontal="right"/>
    </xf>
    <xf numFmtId="44" fontId="7" fillId="8" borderId="0" xfId="0" applyNumberFormat="1" applyFont="1" applyFill="1" applyBorder="1"/>
    <xf numFmtId="0" fontId="4" fillId="8" borderId="0" xfId="1" applyNumberFormat="1" applyFont="1" applyFill="1" applyBorder="1" applyAlignment="1">
      <alignment horizontal="center"/>
    </xf>
    <xf numFmtId="0" fontId="4" fillId="8" borderId="0" xfId="0" applyNumberFormat="1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44" fontId="4" fillId="8" borderId="0" xfId="1" applyFont="1" applyFill="1" applyBorder="1" applyAlignment="1">
      <alignment horizontal="center"/>
    </xf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44" fontId="0" fillId="8" borderId="0" xfId="1" applyFont="1" applyFill="1" applyBorder="1" applyAlignment="1">
      <alignment horizontal="center"/>
    </xf>
    <xf numFmtId="0" fontId="14" fillId="3" borderId="0" xfId="0" applyFont="1" applyFill="1" applyAlignment="1">
      <alignment horizontal="center" vertical="top"/>
    </xf>
    <xf numFmtId="0" fontId="5" fillId="8" borderId="1" xfId="0" applyFont="1" applyFill="1" applyBorder="1" applyAlignment="1">
      <alignment horizontal="center"/>
    </xf>
    <xf numFmtId="0" fontId="4" fillId="9" borderId="6" xfId="0" applyFont="1" applyFill="1" applyBorder="1"/>
    <xf numFmtId="0" fontId="4" fillId="9" borderId="7" xfId="0" applyFont="1" applyFill="1" applyBorder="1"/>
    <xf numFmtId="0" fontId="4" fillId="9" borderId="7" xfId="0" applyFont="1" applyFill="1" applyBorder="1" applyAlignment="1">
      <alignment horizontal="center"/>
    </xf>
    <xf numFmtId="0" fontId="4" fillId="9" borderId="9" xfId="0" applyFont="1" applyFill="1" applyBorder="1"/>
    <xf numFmtId="0" fontId="4" fillId="9" borderId="10" xfId="0" applyFont="1" applyFill="1" applyBorder="1"/>
    <xf numFmtId="0" fontId="4" fillId="9" borderId="10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/>
    <xf numFmtId="0" fontId="0" fillId="9" borderId="10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/>
    <xf numFmtId="164" fontId="4" fillId="9" borderId="7" xfId="1" applyNumberFormat="1" applyFont="1" applyFill="1" applyBorder="1"/>
    <xf numFmtId="164" fontId="4" fillId="9" borderId="8" xfId="1" applyNumberFormat="1" applyFont="1" applyFill="1" applyBorder="1"/>
    <xf numFmtId="164" fontId="4" fillId="9" borderId="10" xfId="1" applyNumberFormat="1" applyFont="1" applyFill="1" applyBorder="1"/>
    <xf numFmtId="164" fontId="4" fillId="9" borderId="11" xfId="1" applyNumberFormat="1" applyFont="1" applyFill="1" applyBorder="1"/>
    <xf numFmtId="164" fontId="0" fillId="9" borderId="10" xfId="1" applyNumberFormat="1" applyFont="1" applyFill="1" applyBorder="1"/>
    <xf numFmtId="164" fontId="0" fillId="9" borderId="11" xfId="1" applyNumberFormat="1" applyFont="1" applyFill="1" applyBorder="1"/>
    <xf numFmtId="164" fontId="0" fillId="9" borderId="10" xfId="0" applyNumberFormat="1" applyFill="1" applyBorder="1"/>
    <xf numFmtId="164" fontId="0" fillId="9" borderId="11" xfId="0" applyNumberFormat="1" applyFill="1" applyBorder="1"/>
    <xf numFmtId="164" fontId="0" fillId="9" borderId="13" xfId="0" applyNumberFormat="1" applyFill="1" applyBorder="1"/>
    <xf numFmtId="164" fontId="0" fillId="9" borderId="14" xfId="0" applyNumberFormat="1" applyFill="1" applyBorder="1"/>
    <xf numFmtId="0" fontId="5" fillId="4" borderId="5" xfId="0" applyFont="1" applyFill="1" applyBorder="1" applyAlignment="1">
      <alignment horizontal="center"/>
    </xf>
    <xf numFmtId="7" fontId="5" fillId="4" borderId="5" xfId="1" applyNumberFormat="1" applyFont="1" applyFill="1" applyBorder="1" applyAlignment="1">
      <alignment horizontal="center"/>
    </xf>
    <xf numFmtId="44" fontId="5" fillId="4" borderId="5" xfId="1" applyNumberFormat="1" applyFont="1" applyFill="1" applyBorder="1" applyAlignment="1">
      <alignment horizontal="center"/>
    </xf>
    <xf numFmtId="16" fontId="1" fillId="9" borderId="2" xfId="3" applyNumberFormat="1">
      <alignment horizontal="left"/>
    </xf>
    <xf numFmtId="44" fontId="1" fillId="9" borderId="2" xfId="1" applyFill="1" applyBorder="1" applyAlignment="1">
      <alignment horizontal="left"/>
    </xf>
    <xf numFmtId="14" fontId="1" fillId="9" borderId="2" xfId="3" applyNumberFormat="1">
      <alignment horizontal="left"/>
    </xf>
    <xf numFmtId="164" fontId="5" fillId="8" borderId="2" xfId="0" applyNumberFormat="1" applyFont="1" applyFill="1" applyBorder="1" applyAlignment="1">
      <alignment horizontal="center"/>
    </xf>
    <xf numFmtId="0" fontId="4" fillId="8" borderId="0" xfId="0" applyFont="1" applyFill="1" applyBorder="1" applyAlignment="1">
      <alignment vertical="center"/>
    </xf>
    <xf numFmtId="165" fontId="4" fillId="8" borderId="0" xfId="1" applyNumberFormat="1" applyFont="1" applyFill="1" applyBorder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/>
    <xf numFmtId="0" fontId="4" fillId="8" borderId="0" xfId="0" applyNumberFormat="1" applyFont="1" applyFill="1" applyBorder="1" applyAlignment="1">
      <alignment horizontal="left"/>
    </xf>
    <xf numFmtId="0" fontId="4" fillId="8" borderId="0" xfId="0" applyNumberFormat="1" applyFont="1" applyFill="1" applyBorder="1"/>
    <xf numFmtId="0" fontId="3" fillId="3" borderId="0" xfId="0" applyFont="1" applyFill="1" applyBorder="1" applyAlignment="1">
      <alignment horizontal="center" vertical="top"/>
    </xf>
    <xf numFmtId="0" fontId="0" fillId="9" borderId="2" xfId="3" applyFont="1">
      <alignment horizontal="left"/>
    </xf>
    <xf numFmtId="0" fontId="1" fillId="9" borderId="2" xfId="3">
      <alignment horizontal="left"/>
    </xf>
    <xf numFmtId="0" fontId="0" fillId="18" borderId="4" xfId="0" applyFill="1" applyBorder="1" applyAlignment="1">
      <alignment horizontal="center"/>
    </xf>
    <xf numFmtId="0" fontId="0" fillId="18" borderId="36" xfId="0" applyFill="1" applyBorder="1" applyAlignment="1">
      <alignment horizontal="center"/>
    </xf>
    <xf numFmtId="0" fontId="2" fillId="11" borderId="23" xfId="0" applyFont="1" applyFill="1" applyBorder="1" applyAlignment="1">
      <alignment horizontal="center"/>
    </xf>
    <xf numFmtId="0" fontId="2" fillId="11" borderId="24" xfId="0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8" fillId="11" borderId="15" xfId="0" applyFont="1" applyFill="1" applyBorder="1" applyAlignment="1">
      <alignment horizontal="center"/>
    </xf>
    <xf numFmtId="0" fontId="5" fillId="14" borderId="21" xfId="0" applyFont="1" applyFill="1" applyBorder="1" applyAlignment="1">
      <alignment horizontal="center"/>
    </xf>
    <xf numFmtId="0" fontId="2" fillId="16" borderId="4" xfId="0" applyFont="1" applyFill="1" applyBorder="1" applyAlignment="1">
      <alignment horizontal="center" wrapText="1"/>
    </xf>
    <xf numFmtId="0" fontId="2" fillId="16" borderId="4" xfId="0" applyFont="1" applyFill="1" applyBorder="1" applyAlignment="1">
      <alignment horizontal="center"/>
    </xf>
  </cellXfs>
  <cellStyles count="5">
    <cellStyle name="Currency" xfId="1" builtinId="4"/>
    <cellStyle name="Field" xfId="3" xr:uid="{00000000-0005-0000-0000-000001000000}"/>
    <cellStyle name="Followed Hyperlink" xfId="4" builtinId="9"/>
    <cellStyle name="Label" xfId="2" xr:uid="{00000000-0005-0000-0000-000003000000}"/>
    <cellStyle name="Normal" xfId="0" builtinId="0"/>
  </cellStyles>
  <dxfs count="11">
    <dxf>
      <fill>
        <patternFill>
          <bgColor rgb="FFEAF0F6"/>
        </patternFill>
      </fill>
    </dxf>
    <dxf>
      <fill>
        <patternFill>
          <bgColor rgb="FFE0E9F4"/>
        </patternFill>
      </fill>
    </dxf>
    <dxf>
      <fill>
        <patternFill>
          <bgColor rgb="FFE6EDF6"/>
        </patternFill>
      </fill>
    </dxf>
    <dxf>
      <fill>
        <patternFill>
          <bgColor rgb="FFE6EDF6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0F1F8"/>
        </patternFill>
      </fill>
    </dxf>
    <dxf>
      <fill>
        <patternFill>
          <bgColor theme="0"/>
        </patternFill>
      </fill>
    </dxf>
    <dxf>
      <font>
        <b/>
        <i val="0"/>
      </font>
      <fill>
        <gradientFill degree="90">
          <stop position="0">
            <color theme="2" tint="-0.25098422193060094"/>
          </stop>
          <stop position="1">
            <color theme="2" tint="-9.8025452436902985E-2"/>
          </stop>
        </gradientFill>
      </fill>
      <border>
        <left style="thin">
          <color theme="2" tint="-0.749961851863155"/>
        </left>
        <right style="thin">
          <color theme="2" tint="-0.749961851863155"/>
        </right>
        <top style="thin">
          <color theme="2" tint="-0.749961851863155"/>
        </top>
        <bottom style="thin">
          <color theme="2" tint="-0.749961851863155"/>
        </bottom>
        <vertical/>
        <horizontal/>
      </border>
    </dxf>
    <dxf>
      <font>
        <b/>
        <i val="0"/>
        <color theme="0"/>
      </font>
      <fill>
        <gradientFill>
          <stop position="0">
            <color rgb="FF167D92"/>
          </stop>
          <stop position="1">
            <color theme="2" tint="-0.49803155613879818"/>
          </stop>
        </gradientFill>
      </fill>
      <border>
        <left style="thin">
          <color theme="2" tint="-0.749961851863155"/>
        </left>
        <right style="thin">
          <color theme="2" tint="-0.749961851863155"/>
        </right>
        <top style="thin">
          <color theme="2" tint="-0.749961851863155"/>
        </top>
        <bottom style="thin">
          <color theme="2" tint="-0.749961851863155"/>
        </bottom>
        <vertical/>
        <horizontal/>
      </border>
    </dxf>
    <dxf>
      <fill>
        <patternFill>
          <bgColor rgb="FFD4F2F8"/>
        </patternFill>
      </fill>
    </dxf>
    <dxf>
      <fill>
        <patternFill>
          <bgColor rgb="FFD4F2F8"/>
        </patternFill>
      </fill>
    </dxf>
  </dxfs>
  <tableStyles count="0" defaultTableStyle="TableStyleMedium2" defaultPivotStyle="PivotStyleLight16"/>
  <colors>
    <mruColors>
      <color rgb="FFD0F1F8"/>
      <color rgb="FF167D92"/>
      <color rgb="FFD4F2F8"/>
      <color rgb="FFDBF4F9"/>
      <color rgb="FFE6EDF6"/>
      <color rgb="FFE0E9F4"/>
      <color rgb="FFD7F3F9"/>
      <color rgb="FF1A95AE"/>
      <color rgb="FF0080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ERP!$AD$4</c:f>
              <c:strCache>
                <c:ptCount val="1"/>
                <c:pt idx="0">
                  <c:v>Total Sales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ERP!$AD$5:$AD$14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ERP!$AC$5:$AC$14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638-463C-A675-A646A6AA5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366676</xdr:colOff>
      <xdr:row>0</xdr:row>
      <xdr:rowOff>75882</xdr:rowOff>
    </xdr:from>
    <xdr:to>
      <xdr:col>2</xdr:col>
      <xdr:colOff>5104047</xdr:colOff>
      <xdr:row>19</xdr:row>
      <xdr:rowOff>130875</xdr:rowOff>
    </xdr:to>
    <xdr:grpSp>
      <xdr:nvGrpSpPr>
        <xdr:cNvPr id="113" name="HomeGrp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366676" y="75882"/>
          <a:ext cx="4737371" cy="4842893"/>
          <a:chOff x="1890676" y="75882"/>
          <a:chExt cx="4736250" cy="4846068"/>
        </a:xfrm>
      </xdr:grpSpPr>
      <xdr:pic>
        <xdr:nvPicPr>
          <xdr:cNvPr id="98" name="Picture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0676" y="75882"/>
            <a:ext cx="1102532" cy="743268"/>
          </a:xfrm>
          <a:prstGeom prst="rect">
            <a:avLst/>
          </a:prstGeom>
        </xdr:spPr>
      </xdr:pic>
      <xdr:grpSp>
        <xdr:nvGrpSpPr>
          <xdr:cNvPr id="112" name="Group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GrpSpPr/>
        </xdr:nvGrpSpPr>
        <xdr:grpSpPr>
          <a:xfrm>
            <a:off x="2967215" y="1175572"/>
            <a:ext cx="3659711" cy="3746378"/>
            <a:chOff x="2967215" y="1175572"/>
            <a:chExt cx="3659711" cy="3746378"/>
          </a:xfrm>
        </xdr:grpSpPr>
        <xdr:pic>
          <xdr:nvPicPr>
            <xdr:cNvPr id="99" name="Picture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36150" y="2154414"/>
              <a:ext cx="1783317" cy="1817512"/>
            </a:xfrm>
            <a:prstGeom prst="rect">
              <a:avLst/>
            </a:prstGeom>
          </xdr:spPr>
        </xdr:pic>
        <xdr:grpSp>
          <xdr:nvGrpSpPr>
            <xdr:cNvPr id="111" name="Group 110">
              <a:extLst>
                <a:ext uri="{FF2B5EF4-FFF2-40B4-BE49-F238E27FC236}">
                  <a16:creationId xmlns:a16="http://schemas.microsoft.com/office/drawing/2014/main" id="{00000000-0008-0000-0000-00006F000000}"/>
                </a:ext>
              </a:extLst>
            </xdr:cNvPr>
            <xdr:cNvGrpSpPr/>
          </xdr:nvGrpSpPr>
          <xdr:grpSpPr>
            <a:xfrm>
              <a:off x="2967215" y="1175572"/>
              <a:ext cx="3659711" cy="3746378"/>
              <a:chOff x="2967215" y="1175572"/>
              <a:chExt cx="3659711" cy="3746378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grpSpPr>
          <xdr:sp macro="[0]!Menu_Purchase" textlink="">
            <xdr:nvSpPr>
              <xdr:cNvPr id="9" name="Freeform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67215" y="3048082"/>
                <a:ext cx="2117359" cy="1873868"/>
              </a:xfrm>
              <a:custGeom>
                <a:avLst/>
                <a:gdLst>
                  <a:gd name="T0" fmla="*/ 662 w 662"/>
                  <a:gd name="T1" fmla="*/ 415 h 573"/>
                  <a:gd name="T2" fmla="*/ 600 w 662"/>
                  <a:gd name="T3" fmla="*/ 477 h 573"/>
                  <a:gd name="T4" fmla="*/ 572 w 662"/>
                  <a:gd name="T5" fmla="*/ 470 h 573"/>
                  <a:gd name="T6" fmla="*/ 572 w 662"/>
                  <a:gd name="T7" fmla="*/ 573 h 573"/>
                  <a:gd name="T8" fmla="*/ 0 w 662"/>
                  <a:gd name="T9" fmla="*/ 0 h 573"/>
                  <a:gd name="T10" fmla="*/ 90 w 662"/>
                  <a:gd name="T11" fmla="*/ 0 h 573"/>
                  <a:gd name="T12" fmla="*/ 83 w 662"/>
                  <a:gd name="T13" fmla="*/ 29 h 573"/>
                  <a:gd name="T14" fmla="*/ 146 w 662"/>
                  <a:gd name="T15" fmla="*/ 91 h 573"/>
                  <a:gd name="T16" fmla="*/ 208 w 662"/>
                  <a:gd name="T17" fmla="*/ 29 h 573"/>
                  <a:gd name="T18" fmla="*/ 201 w 662"/>
                  <a:gd name="T19" fmla="*/ 0 h 573"/>
                  <a:gd name="T20" fmla="*/ 307 w 662"/>
                  <a:gd name="T21" fmla="*/ 0 h 573"/>
                  <a:gd name="T22" fmla="*/ 572 w 662"/>
                  <a:gd name="T23" fmla="*/ 265 h 573"/>
                  <a:gd name="T24" fmla="*/ 572 w 662"/>
                  <a:gd name="T25" fmla="*/ 359 h 573"/>
                  <a:gd name="T26" fmla="*/ 600 w 662"/>
                  <a:gd name="T27" fmla="*/ 352 h 573"/>
                  <a:gd name="T28" fmla="*/ 662 w 662"/>
                  <a:gd name="T29" fmla="*/ 415 h 5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</a:cxnLst>
                <a:rect l="0" t="0" r="r" b="b"/>
                <a:pathLst>
                  <a:path w="662" h="573">
                    <a:moveTo>
                      <a:pt x="662" y="415"/>
                    </a:moveTo>
                    <a:cubicBezTo>
                      <a:pt x="662" y="449"/>
                      <a:pt x="635" y="477"/>
                      <a:pt x="600" y="477"/>
                    </a:cubicBezTo>
                    <a:cubicBezTo>
                      <a:pt x="590" y="477"/>
                      <a:pt x="580" y="475"/>
                      <a:pt x="572" y="470"/>
                    </a:cubicBezTo>
                    <a:cubicBezTo>
                      <a:pt x="572" y="573"/>
                      <a:pt x="572" y="573"/>
                      <a:pt x="572" y="573"/>
                    </a:cubicBezTo>
                    <a:cubicBezTo>
                      <a:pt x="256" y="573"/>
                      <a:pt x="0" y="316"/>
                      <a:pt x="0" y="0"/>
                    </a:cubicBezTo>
                    <a:cubicBezTo>
                      <a:pt x="90" y="0"/>
                      <a:pt x="90" y="0"/>
                      <a:pt x="90" y="0"/>
                    </a:cubicBezTo>
                    <a:cubicBezTo>
                      <a:pt x="85" y="9"/>
                      <a:pt x="83" y="18"/>
                      <a:pt x="83" y="29"/>
                    </a:cubicBezTo>
                    <a:cubicBezTo>
                      <a:pt x="83" y="63"/>
                      <a:pt x="111" y="91"/>
                      <a:pt x="146" y="91"/>
                    </a:cubicBezTo>
                    <a:cubicBezTo>
                      <a:pt x="180" y="91"/>
                      <a:pt x="208" y="63"/>
                      <a:pt x="208" y="29"/>
                    </a:cubicBezTo>
                    <a:cubicBezTo>
                      <a:pt x="208" y="18"/>
                      <a:pt x="206" y="9"/>
                      <a:pt x="201" y="0"/>
                    </a:cubicBezTo>
                    <a:cubicBezTo>
                      <a:pt x="307" y="0"/>
                      <a:pt x="307" y="0"/>
                      <a:pt x="307" y="0"/>
                    </a:cubicBezTo>
                    <a:cubicBezTo>
                      <a:pt x="307" y="146"/>
                      <a:pt x="426" y="265"/>
                      <a:pt x="572" y="265"/>
                    </a:cubicBezTo>
                    <a:cubicBezTo>
                      <a:pt x="572" y="359"/>
                      <a:pt x="572" y="359"/>
                      <a:pt x="572" y="359"/>
                    </a:cubicBezTo>
                    <a:cubicBezTo>
                      <a:pt x="580" y="354"/>
                      <a:pt x="590" y="352"/>
                      <a:pt x="600" y="352"/>
                    </a:cubicBezTo>
                    <a:cubicBezTo>
                      <a:pt x="635" y="352"/>
                      <a:pt x="662" y="380"/>
                      <a:pt x="662" y="415"/>
                    </a:cubicBezTo>
                    <a:close/>
                  </a:path>
                </a:pathLst>
              </a:custGeom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="horz" wrap="square" lIns="109728" tIns="54864" rIns="109728" bIns="54864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 sz="2644"/>
              </a:p>
            </xdr:txBody>
          </xdr:sp>
          <xdr:sp macro="[0]!Menu_Reports" textlink="">
            <xdr:nvSpPr>
              <xdr:cNvPr id="10" name="Freeform 9">
                <a:extLst>
                  <a:ext uri="{FF2B5EF4-FFF2-40B4-BE49-F238E27FC236}">
                    <a16:creationId xmlns:a16="http://schemas.microsoft.com/office/drawing/2014/main" id="{00000000-0008-0000-0000-00000A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97071" y="2765359"/>
                <a:ext cx="1829855" cy="2156590"/>
              </a:xfrm>
              <a:custGeom>
                <a:avLst/>
                <a:gdLst>
                  <a:gd name="T0" fmla="*/ 572 w 572"/>
                  <a:gd name="T1" fmla="*/ 86 h 659"/>
                  <a:gd name="T2" fmla="*/ 0 w 572"/>
                  <a:gd name="T3" fmla="*/ 659 h 659"/>
                  <a:gd name="T4" fmla="*/ 0 w 572"/>
                  <a:gd name="T5" fmla="*/ 556 h 659"/>
                  <a:gd name="T6" fmla="*/ 28 w 572"/>
                  <a:gd name="T7" fmla="*/ 563 h 659"/>
                  <a:gd name="T8" fmla="*/ 90 w 572"/>
                  <a:gd name="T9" fmla="*/ 501 h 659"/>
                  <a:gd name="T10" fmla="*/ 28 w 572"/>
                  <a:gd name="T11" fmla="*/ 438 h 659"/>
                  <a:gd name="T12" fmla="*/ 0 w 572"/>
                  <a:gd name="T13" fmla="*/ 445 h 659"/>
                  <a:gd name="T14" fmla="*/ 0 w 572"/>
                  <a:gd name="T15" fmla="*/ 351 h 659"/>
                  <a:gd name="T16" fmla="*/ 265 w 572"/>
                  <a:gd name="T17" fmla="*/ 86 h 659"/>
                  <a:gd name="T18" fmla="*/ 343 w 572"/>
                  <a:gd name="T19" fmla="*/ 86 h 659"/>
                  <a:gd name="T20" fmla="*/ 338 w 572"/>
                  <a:gd name="T21" fmla="*/ 63 h 659"/>
                  <a:gd name="T22" fmla="*/ 401 w 572"/>
                  <a:gd name="T23" fmla="*/ 0 h 659"/>
                  <a:gd name="T24" fmla="*/ 464 w 572"/>
                  <a:gd name="T25" fmla="*/ 63 h 659"/>
                  <a:gd name="T26" fmla="*/ 459 w 572"/>
                  <a:gd name="T27" fmla="*/ 86 h 659"/>
                  <a:gd name="T28" fmla="*/ 572 w 572"/>
                  <a:gd name="T29" fmla="*/ 86 h 65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</a:cxnLst>
                <a:rect l="0" t="0" r="r" b="b"/>
                <a:pathLst>
                  <a:path w="572" h="659">
                    <a:moveTo>
                      <a:pt x="572" y="86"/>
                    </a:moveTo>
                    <a:cubicBezTo>
                      <a:pt x="572" y="402"/>
                      <a:pt x="316" y="659"/>
                      <a:pt x="0" y="659"/>
                    </a:cubicBezTo>
                    <a:cubicBezTo>
                      <a:pt x="0" y="556"/>
                      <a:pt x="0" y="556"/>
                      <a:pt x="0" y="556"/>
                    </a:cubicBezTo>
                    <a:cubicBezTo>
                      <a:pt x="8" y="561"/>
                      <a:pt x="18" y="563"/>
                      <a:pt x="28" y="563"/>
                    </a:cubicBezTo>
                    <a:cubicBezTo>
                      <a:pt x="63" y="563"/>
                      <a:pt x="90" y="535"/>
                      <a:pt x="90" y="501"/>
                    </a:cubicBezTo>
                    <a:cubicBezTo>
                      <a:pt x="90" y="466"/>
                      <a:pt x="63" y="438"/>
                      <a:pt x="28" y="438"/>
                    </a:cubicBezTo>
                    <a:cubicBezTo>
                      <a:pt x="18" y="438"/>
                      <a:pt x="8" y="440"/>
                      <a:pt x="0" y="445"/>
                    </a:cubicBezTo>
                    <a:cubicBezTo>
                      <a:pt x="0" y="351"/>
                      <a:pt x="0" y="351"/>
                      <a:pt x="0" y="351"/>
                    </a:cubicBezTo>
                    <a:cubicBezTo>
                      <a:pt x="146" y="351"/>
                      <a:pt x="265" y="232"/>
                      <a:pt x="265" y="86"/>
                    </a:cubicBezTo>
                    <a:cubicBezTo>
                      <a:pt x="343" y="86"/>
                      <a:pt x="343" y="86"/>
                      <a:pt x="343" y="86"/>
                    </a:cubicBezTo>
                    <a:cubicBezTo>
                      <a:pt x="340" y="79"/>
                      <a:pt x="338" y="71"/>
                      <a:pt x="338" y="63"/>
                    </a:cubicBezTo>
                    <a:cubicBezTo>
                      <a:pt x="338" y="28"/>
                      <a:pt x="366" y="0"/>
                      <a:pt x="401" y="0"/>
                    </a:cubicBezTo>
                    <a:cubicBezTo>
                      <a:pt x="436" y="0"/>
                      <a:pt x="464" y="28"/>
                      <a:pt x="464" y="63"/>
                    </a:cubicBezTo>
                    <a:cubicBezTo>
                      <a:pt x="464" y="71"/>
                      <a:pt x="462" y="79"/>
                      <a:pt x="459" y="86"/>
                    </a:cubicBezTo>
                    <a:lnTo>
                      <a:pt x="572" y="86"/>
                    </a:lnTo>
                    <a:close/>
                  </a:path>
                </a:pathLst>
              </a:custGeom>
              <a:solidFill>
                <a:srgbClr val="660066"/>
              </a:solidFill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="horz" wrap="square" lIns="109728" tIns="54864" rIns="109728" bIns="54864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 sz="2644"/>
              </a:p>
            </xdr:txBody>
          </xdr:sp>
          <xdr:sp macro="[0]!Menu_Invoice" textlink="">
            <xdr:nvSpPr>
              <xdr:cNvPr id="11" name="Freeform 10">
                <a:extLst>
                  <a:ext uri="{FF2B5EF4-FFF2-40B4-BE49-F238E27FC236}">
                    <a16:creationId xmlns:a16="http://schemas.microsoft.com/office/drawing/2014/main" id="{00000000-0008-0000-0000-00000B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12744" y="1175574"/>
                <a:ext cx="2114182" cy="1872508"/>
              </a:xfrm>
              <a:custGeom>
                <a:avLst/>
                <a:gdLst>
                  <a:gd name="T0" fmla="*/ 548 w 661"/>
                  <a:gd name="T1" fmla="*/ 573 h 573"/>
                  <a:gd name="T2" fmla="*/ 553 w 661"/>
                  <a:gd name="T3" fmla="*/ 550 h 573"/>
                  <a:gd name="T4" fmla="*/ 490 w 661"/>
                  <a:gd name="T5" fmla="*/ 487 h 573"/>
                  <a:gd name="T6" fmla="*/ 427 w 661"/>
                  <a:gd name="T7" fmla="*/ 550 h 573"/>
                  <a:gd name="T8" fmla="*/ 432 w 661"/>
                  <a:gd name="T9" fmla="*/ 573 h 573"/>
                  <a:gd name="T10" fmla="*/ 354 w 661"/>
                  <a:gd name="T11" fmla="*/ 573 h 573"/>
                  <a:gd name="T12" fmla="*/ 89 w 661"/>
                  <a:gd name="T13" fmla="*/ 308 h 573"/>
                  <a:gd name="T14" fmla="*/ 89 w 661"/>
                  <a:gd name="T15" fmla="*/ 209 h 573"/>
                  <a:gd name="T16" fmla="*/ 63 w 661"/>
                  <a:gd name="T17" fmla="*/ 215 h 573"/>
                  <a:gd name="T18" fmla="*/ 0 w 661"/>
                  <a:gd name="T19" fmla="*/ 152 h 573"/>
                  <a:gd name="T20" fmla="*/ 63 w 661"/>
                  <a:gd name="T21" fmla="*/ 90 h 573"/>
                  <a:gd name="T22" fmla="*/ 89 w 661"/>
                  <a:gd name="T23" fmla="*/ 96 h 573"/>
                  <a:gd name="T24" fmla="*/ 89 w 661"/>
                  <a:gd name="T25" fmla="*/ 0 h 573"/>
                  <a:gd name="T26" fmla="*/ 661 w 661"/>
                  <a:gd name="T27" fmla="*/ 573 h 573"/>
                  <a:gd name="T28" fmla="*/ 548 w 661"/>
                  <a:gd name="T29" fmla="*/ 573 h 5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</a:cxnLst>
                <a:rect l="0" t="0" r="r" b="b"/>
                <a:pathLst>
                  <a:path w="661" h="573">
                    <a:moveTo>
                      <a:pt x="548" y="573"/>
                    </a:moveTo>
                    <a:cubicBezTo>
                      <a:pt x="551" y="566"/>
                      <a:pt x="553" y="558"/>
                      <a:pt x="553" y="550"/>
                    </a:cubicBezTo>
                    <a:cubicBezTo>
                      <a:pt x="553" y="515"/>
                      <a:pt x="525" y="487"/>
                      <a:pt x="490" y="487"/>
                    </a:cubicBezTo>
                    <a:cubicBezTo>
                      <a:pt x="455" y="487"/>
                      <a:pt x="427" y="515"/>
                      <a:pt x="427" y="550"/>
                    </a:cubicBezTo>
                    <a:cubicBezTo>
                      <a:pt x="427" y="558"/>
                      <a:pt x="429" y="566"/>
                      <a:pt x="432" y="573"/>
                    </a:cubicBezTo>
                    <a:cubicBezTo>
                      <a:pt x="354" y="573"/>
                      <a:pt x="354" y="573"/>
                      <a:pt x="354" y="573"/>
                    </a:cubicBezTo>
                    <a:cubicBezTo>
                      <a:pt x="354" y="427"/>
                      <a:pt x="235" y="308"/>
                      <a:pt x="89" y="308"/>
                    </a:cubicBezTo>
                    <a:cubicBezTo>
                      <a:pt x="89" y="209"/>
                      <a:pt x="89" y="209"/>
                      <a:pt x="89" y="209"/>
                    </a:cubicBezTo>
                    <a:cubicBezTo>
                      <a:pt x="81" y="213"/>
                      <a:pt x="72" y="215"/>
                      <a:pt x="63" y="215"/>
                    </a:cubicBezTo>
                    <a:cubicBezTo>
                      <a:pt x="28" y="215"/>
                      <a:pt x="0" y="187"/>
                      <a:pt x="0" y="152"/>
                    </a:cubicBezTo>
                    <a:cubicBezTo>
                      <a:pt x="0" y="118"/>
                      <a:pt x="28" y="90"/>
                      <a:pt x="63" y="90"/>
                    </a:cubicBezTo>
                    <a:cubicBezTo>
                      <a:pt x="72" y="90"/>
                      <a:pt x="81" y="92"/>
                      <a:pt x="89" y="96"/>
                    </a:cubicBezTo>
                    <a:cubicBezTo>
                      <a:pt x="89" y="0"/>
                      <a:pt x="89" y="0"/>
                      <a:pt x="89" y="0"/>
                    </a:cubicBezTo>
                    <a:cubicBezTo>
                      <a:pt x="405" y="0"/>
                      <a:pt x="661" y="257"/>
                      <a:pt x="661" y="573"/>
                    </a:cubicBezTo>
                    <a:lnTo>
                      <a:pt x="548" y="573"/>
                    </a:lnTo>
                    <a:close/>
                  </a:path>
                </a:pathLst>
              </a:custGeom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="horz" wrap="square" lIns="109728" tIns="54864" rIns="109728" bIns="54864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 sz="2644"/>
              </a:p>
            </xdr:txBody>
          </xdr:sp>
          <xdr:sp macro="[0]!Menu_IncomeExpense" textlink="">
            <xdr:nvSpPr>
              <xdr:cNvPr id="12" name="Freeform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67216" y="1175572"/>
                <a:ext cx="1829855" cy="2168155"/>
              </a:xfrm>
              <a:custGeom>
                <a:avLst/>
                <a:gdLst>
                  <a:gd name="T0" fmla="*/ 483 w 572"/>
                  <a:gd name="T1" fmla="*/ 152 h 664"/>
                  <a:gd name="T2" fmla="*/ 546 w 572"/>
                  <a:gd name="T3" fmla="*/ 215 h 664"/>
                  <a:gd name="T4" fmla="*/ 572 w 572"/>
                  <a:gd name="T5" fmla="*/ 209 h 664"/>
                  <a:gd name="T6" fmla="*/ 572 w 572"/>
                  <a:gd name="T7" fmla="*/ 308 h 664"/>
                  <a:gd name="T8" fmla="*/ 307 w 572"/>
                  <a:gd name="T9" fmla="*/ 573 h 664"/>
                  <a:gd name="T10" fmla="*/ 201 w 572"/>
                  <a:gd name="T11" fmla="*/ 573 h 664"/>
                  <a:gd name="T12" fmla="*/ 208 w 572"/>
                  <a:gd name="T13" fmla="*/ 602 h 664"/>
                  <a:gd name="T14" fmla="*/ 146 w 572"/>
                  <a:gd name="T15" fmla="*/ 664 h 664"/>
                  <a:gd name="T16" fmla="*/ 83 w 572"/>
                  <a:gd name="T17" fmla="*/ 602 h 664"/>
                  <a:gd name="T18" fmla="*/ 90 w 572"/>
                  <a:gd name="T19" fmla="*/ 573 h 664"/>
                  <a:gd name="T20" fmla="*/ 0 w 572"/>
                  <a:gd name="T21" fmla="*/ 573 h 664"/>
                  <a:gd name="T22" fmla="*/ 572 w 572"/>
                  <a:gd name="T23" fmla="*/ 0 h 664"/>
                  <a:gd name="T24" fmla="*/ 572 w 572"/>
                  <a:gd name="T25" fmla="*/ 96 h 664"/>
                  <a:gd name="T26" fmla="*/ 546 w 572"/>
                  <a:gd name="T27" fmla="*/ 90 h 664"/>
                  <a:gd name="T28" fmla="*/ 483 w 572"/>
                  <a:gd name="T29" fmla="*/ 152 h 66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</a:cxnLst>
                <a:rect l="0" t="0" r="r" b="b"/>
                <a:pathLst>
                  <a:path w="572" h="664">
                    <a:moveTo>
                      <a:pt x="483" y="152"/>
                    </a:moveTo>
                    <a:cubicBezTo>
                      <a:pt x="483" y="187"/>
                      <a:pt x="511" y="215"/>
                      <a:pt x="546" y="215"/>
                    </a:cubicBezTo>
                    <a:cubicBezTo>
                      <a:pt x="555" y="215"/>
                      <a:pt x="564" y="213"/>
                      <a:pt x="572" y="209"/>
                    </a:cubicBezTo>
                    <a:cubicBezTo>
                      <a:pt x="572" y="308"/>
                      <a:pt x="572" y="308"/>
                      <a:pt x="572" y="308"/>
                    </a:cubicBezTo>
                    <a:cubicBezTo>
                      <a:pt x="426" y="308"/>
                      <a:pt x="307" y="427"/>
                      <a:pt x="307" y="573"/>
                    </a:cubicBezTo>
                    <a:cubicBezTo>
                      <a:pt x="201" y="573"/>
                      <a:pt x="201" y="573"/>
                      <a:pt x="201" y="573"/>
                    </a:cubicBezTo>
                    <a:cubicBezTo>
                      <a:pt x="206" y="582"/>
                      <a:pt x="208" y="591"/>
                      <a:pt x="208" y="602"/>
                    </a:cubicBezTo>
                    <a:cubicBezTo>
                      <a:pt x="208" y="636"/>
                      <a:pt x="180" y="664"/>
                      <a:pt x="146" y="664"/>
                    </a:cubicBezTo>
                    <a:cubicBezTo>
                      <a:pt x="111" y="664"/>
                      <a:pt x="83" y="636"/>
                      <a:pt x="83" y="602"/>
                    </a:cubicBezTo>
                    <a:cubicBezTo>
                      <a:pt x="83" y="591"/>
                      <a:pt x="85" y="582"/>
                      <a:pt x="90" y="573"/>
                    </a:cubicBezTo>
                    <a:cubicBezTo>
                      <a:pt x="0" y="573"/>
                      <a:pt x="0" y="573"/>
                      <a:pt x="0" y="573"/>
                    </a:cubicBezTo>
                    <a:cubicBezTo>
                      <a:pt x="0" y="257"/>
                      <a:pt x="256" y="0"/>
                      <a:pt x="572" y="0"/>
                    </a:cubicBezTo>
                    <a:cubicBezTo>
                      <a:pt x="572" y="96"/>
                      <a:pt x="572" y="96"/>
                      <a:pt x="572" y="96"/>
                    </a:cubicBezTo>
                    <a:cubicBezTo>
                      <a:pt x="564" y="92"/>
                      <a:pt x="555" y="90"/>
                      <a:pt x="546" y="90"/>
                    </a:cubicBezTo>
                    <a:cubicBezTo>
                      <a:pt x="511" y="90"/>
                      <a:pt x="483" y="118"/>
                      <a:pt x="483" y="152"/>
                    </a:cubicBezTo>
                    <a:close/>
                  </a:path>
                </a:pathLst>
              </a:custGeom>
              <a:solidFill>
                <a:srgbClr val="008000"/>
              </a:solidFill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="horz" wrap="square" lIns="109728" tIns="54864" rIns="109728" bIns="54864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 sz="2644"/>
              </a:p>
            </xdr:txBody>
          </xdr:sp>
        </xdr:grpSp>
        <xdr:pic macro="[0]!Menu_Invoice">
          <xdr:nvPicPr>
            <xdr:cNvPr id="96" name="Pictur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03051" y="2085657"/>
              <a:ext cx="450597" cy="457200"/>
            </a:xfrm>
            <a:prstGeom prst="rect">
              <a:avLst/>
            </a:prstGeom>
          </xdr:spPr>
        </xdr:pic>
        <xdr:pic macro="[0]!Menu_IncomeExpense">
          <xdr:nvPicPr>
            <xdr:cNvPr id="100" name="Picture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18072" y="2085657"/>
              <a:ext cx="456781" cy="457200"/>
            </a:xfrm>
            <a:prstGeom prst="rect">
              <a:avLst/>
            </a:prstGeom>
          </xdr:spPr>
        </xdr:pic>
        <xdr:pic macro="[0]!Menu_Reports">
          <xdr:nvPicPr>
            <xdr:cNvPr id="102" name="Picture 101">
              <a:extLst>
                <a:ext uri="{FF2B5EF4-FFF2-40B4-BE49-F238E27FC236}">
                  <a16:creationId xmlns:a16="http://schemas.microsoft.com/office/drawing/2014/main" id="{00000000-0008-0000-0000-00006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12576" y="3499045"/>
              <a:ext cx="431547" cy="457200"/>
            </a:xfrm>
            <a:prstGeom prst="rect">
              <a:avLst/>
            </a:prstGeom>
          </xdr:spPr>
        </xdr:pic>
        <xdr:pic macro="[0]!Menu_Purchase">
          <xdr:nvPicPr>
            <xdr:cNvPr id="104" name="Picture 103">
              <a:extLst>
                <a:ext uri="{FF2B5EF4-FFF2-40B4-BE49-F238E27FC236}">
                  <a16:creationId xmlns:a16="http://schemas.microsoft.com/office/drawing/2014/main" id="{00000000-0008-0000-0000-00006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84345" y="3460945"/>
              <a:ext cx="371835" cy="457200"/>
            </a:xfrm>
            <a:prstGeom prst="rect">
              <a:avLst/>
            </a:prstGeom>
          </xdr:spPr>
        </xdr:pic>
        <xdr:sp macro="[0]!Menu_IncomeExpense" textlink="">
          <xdr:nvSpPr>
            <xdr:cNvPr id="105" name="TextBox 104">
              <a:extLst>
                <a:ext uri="{FF2B5EF4-FFF2-40B4-BE49-F238E27FC236}">
                  <a16:creationId xmlns:a16="http://schemas.microsoft.com/office/drawing/2014/main" id="{00000000-0008-0000-0000-000069000000}"/>
                </a:ext>
              </a:extLst>
            </xdr:cNvPr>
            <xdr:cNvSpPr txBox="1"/>
          </xdr:nvSpPr>
          <xdr:spPr>
            <a:xfrm>
              <a:off x="3571875" y="1524000"/>
              <a:ext cx="1323975" cy="561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400" b="1">
                  <a:solidFill>
                    <a:schemeClr val="bg1"/>
                  </a:solidFill>
                </a:rPr>
                <a:t>INCOME</a:t>
              </a:r>
              <a:r>
                <a:rPr lang="en-US" sz="1400" b="1" baseline="0">
                  <a:solidFill>
                    <a:schemeClr val="bg1"/>
                  </a:solidFill>
                </a:rPr>
                <a:t> &amp; EXPENSES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[0]!Menu_Reports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SpPr txBox="1"/>
          </xdr:nvSpPr>
          <xdr:spPr>
            <a:xfrm>
              <a:off x="5010150" y="3886200"/>
              <a:ext cx="1323975" cy="561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400" b="1">
                  <a:solidFill>
                    <a:schemeClr val="bg1"/>
                  </a:solidFill>
                </a:rPr>
                <a:t>REPORTS &amp;</a:t>
              </a:r>
              <a:r>
                <a:rPr lang="en-US" sz="1400" b="1" baseline="0">
                  <a:solidFill>
                    <a:schemeClr val="bg1"/>
                  </a:solidFill>
                </a:rPr>
                <a:t> GRAPHS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[0]!Menu_Purchase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SpPr txBox="1"/>
          </xdr:nvSpPr>
          <xdr:spPr>
            <a:xfrm>
              <a:off x="3524250" y="3886200"/>
              <a:ext cx="1323975" cy="561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400" b="1">
                  <a:solidFill>
                    <a:schemeClr val="bg1"/>
                  </a:solidFill>
                </a:rPr>
                <a:t>INVENTORY</a:t>
              </a:r>
              <a:r>
                <a:rPr lang="en-US" sz="1400" b="1" baseline="0">
                  <a:solidFill>
                    <a:schemeClr val="bg1"/>
                  </a:solidFill>
                </a:rPr>
                <a:t> &amp; PURCHASING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[0]!Menu_Invoice" textlink="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000-00006E000000}"/>
                </a:ext>
              </a:extLst>
            </xdr:cNvPr>
            <xdr:cNvSpPr txBox="1"/>
          </xdr:nvSpPr>
          <xdr:spPr>
            <a:xfrm>
              <a:off x="4867275" y="1524000"/>
              <a:ext cx="1209675" cy="561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400" b="1">
                  <a:solidFill>
                    <a:schemeClr val="bg1"/>
                  </a:solidFill>
                </a:rPr>
                <a:t>INVOICING</a:t>
              </a:r>
              <a:r>
                <a:rPr lang="en-US" sz="1400" b="1" baseline="0">
                  <a:solidFill>
                    <a:schemeClr val="bg1"/>
                  </a:solidFill>
                </a:rPr>
                <a:t> </a:t>
              </a:r>
            </a:p>
            <a:p>
              <a:r>
                <a:rPr lang="en-US" sz="1400" b="1" baseline="0">
                  <a:solidFill>
                    <a:schemeClr val="bg1"/>
                  </a:solidFill>
                </a:rPr>
                <a:t>&amp; SALES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oneCell">
    <xdr:from>
      <xdr:col>4</xdr:col>
      <xdr:colOff>302560</xdr:colOff>
      <xdr:row>0</xdr:row>
      <xdr:rowOff>91888</xdr:rowOff>
    </xdr:from>
    <xdr:to>
      <xdr:col>44</xdr:col>
      <xdr:colOff>98815</xdr:colOff>
      <xdr:row>3</xdr:row>
      <xdr:rowOff>187443</xdr:rowOff>
    </xdr:to>
    <xdr:grpSp>
      <xdr:nvGrpSpPr>
        <xdr:cNvPr id="147" name="IncExpGrp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GrpSpPr/>
      </xdr:nvGrpSpPr>
      <xdr:grpSpPr>
        <a:xfrm>
          <a:off x="9582150" y="91888"/>
          <a:ext cx="6194815" cy="1225855"/>
          <a:chOff x="10580391" y="91888"/>
          <a:chExt cx="6187531" cy="1227349"/>
        </a:xfrm>
      </xdr:grpSpPr>
      <xdr:grpSp>
        <xdr:nvGrpSpPr>
          <xdr:cNvPr id="115" name="Group 114" hidden="1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GrpSpPr/>
        </xdr:nvGrpSpPr>
        <xdr:grpSpPr>
          <a:xfrm>
            <a:off x="15399627" y="858368"/>
            <a:ext cx="1368295" cy="385935"/>
            <a:chOff x="15403752" y="856697"/>
            <a:chExt cx="1370536" cy="389857"/>
          </a:xfrm>
        </xdr:grpSpPr>
        <xdr:sp macro="[0]!Transaction_Save" textlink="">
          <xdr:nvSpPr>
            <xdr:cNvPr id="114" name="Rectangle 113" hidden="1">
              <a:extLst>
                <a:ext uri="{FF2B5EF4-FFF2-40B4-BE49-F238E27FC236}">
                  <a16:creationId xmlns:a16="http://schemas.microsoft.com/office/drawing/2014/main" id="{00000000-0008-0000-0000-000072000000}"/>
                </a:ext>
              </a:extLst>
            </xdr:cNvPr>
            <xdr:cNvSpPr/>
          </xdr:nvSpPr>
          <xdr:spPr>
            <a:xfrm>
              <a:off x="15431262" y="904323"/>
              <a:ext cx="1343026" cy="28575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Add Transaction</a:t>
              </a:r>
            </a:p>
          </xdr:txBody>
        </xdr:sp>
        <xdr:pic macro="[0]!Transaction_Save">
          <xdr:nvPicPr>
            <xdr:cNvPr id="97" name="Picture 96" hidden="1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403752" y="856697"/>
              <a:ext cx="386351" cy="389857"/>
            </a:xfrm>
            <a:prstGeom prst="rect">
              <a:avLst/>
            </a:prstGeom>
          </xdr:spPr>
        </xdr:pic>
      </xdr:grpSp>
      <xdr:pic>
        <xdr:nvPicPr>
          <xdr:cNvPr id="116" name="Picture 115" hidden="1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01057" y="91888"/>
            <a:ext cx="456781" cy="47625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131" name="Group 130" hidden="1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GrpSpPr/>
        </xdr:nvGrpSpPr>
        <xdr:grpSpPr>
          <a:xfrm>
            <a:off x="10580391" y="772185"/>
            <a:ext cx="544566" cy="547052"/>
            <a:chOff x="8933352" y="873557"/>
            <a:chExt cx="548640" cy="549089"/>
          </a:xfrm>
        </xdr:grpSpPr>
        <xdr:sp macro="[0]!Menu_Home" textlink="">
          <xdr:nvSpPr>
            <xdr:cNvPr id="130" name="Oval 129" hidden="1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SpPr/>
          </xdr:nvSpPr>
          <xdr:spPr>
            <a:xfrm>
              <a:off x="8933352" y="873557"/>
              <a:ext cx="548640" cy="549089"/>
            </a:xfrm>
            <a:prstGeom prst="ellipse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101" name="Picture 100" hidden="1">
              <a:extLst>
                <a:ext uri="{FF2B5EF4-FFF2-40B4-BE49-F238E27FC236}">
                  <a16:creationId xmlns:a16="http://schemas.microsoft.com/office/drawing/2014/main" id="{00000000-0008-0000-0000-00006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9051747" y="988081"/>
              <a:ext cx="311848" cy="32004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496726</xdr:colOff>
      <xdr:row>0</xdr:row>
      <xdr:rowOff>35859</xdr:rowOff>
    </xdr:from>
    <xdr:to>
      <xdr:col>45</xdr:col>
      <xdr:colOff>545426</xdr:colOff>
      <xdr:row>3</xdr:row>
      <xdr:rowOff>112671</xdr:rowOff>
    </xdr:to>
    <xdr:grpSp>
      <xdr:nvGrpSpPr>
        <xdr:cNvPr id="146" name="InvoiceGrp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9582150" y="35859"/>
          <a:ext cx="7251026" cy="1207112"/>
          <a:chOff x="17944285" y="35859"/>
          <a:chExt cx="7201720" cy="1208606"/>
        </a:xfrm>
      </xdr:grpSpPr>
      <xdr:pic>
        <xdr:nvPicPr>
          <xdr:cNvPr id="117" name="Picture 116" hidden="1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337710" y="35859"/>
            <a:ext cx="450597" cy="47625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120" name="Group 119" hidden="1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pSpPr/>
        </xdr:nvGrpSpPr>
        <xdr:grpSpPr>
          <a:xfrm>
            <a:off x="23956444" y="831475"/>
            <a:ext cx="1189561" cy="385935"/>
            <a:chOff x="15964964" y="800099"/>
            <a:chExt cx="1191509" cy="389857"/>
          </a:xfrm>
        </xdr:grpSpPr>
        <xdr:sp macro="[0]!Invoice_Save" textlink="">
          <xdr:nvSpPr>
            <xdr:cNvPr id="121" name="Rectangle 120" hidden="1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SpPr/>
          </xdr:nvSpPr>
          <xdr:spPr>
            <a:xfrm>
              <a:off x="15992474" y="847725"/>
              <a:ext cx="1163999" cy="28575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Save</a:t>
              </a:r>
              <a:r>
                <a:rPr lang="en-US" sz="1100" b="1" baseline="0"/>
                <a:t> Invoice</a:t>
              </a:r>
              <a:endParaRPr lang="en-US" sz="1100" b="1"/>
            </a:p>
          </xdr:txBody>
        </xdr:sp>
        <xdr:pic macro="[0]!Invoice_Save">
          <xdr:nvPicPr>
            <xdr:cNvPr id="122" name="Picture 121" hidden="1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964964" y="800099"/>
              <a:ext cx="386351" cy="389857"/>
            </a:xfrm>
            <a:prstGeom prst="rect">
              <a:avLst/>
            </a:prstGeom>
          </xdr:spPr>
        </xdr:pic>
      </xdr:grpSp>
      <xdr:grpSp>
        <xdr:nvGrpSpPr>
          <xdr:cNvPr id="132" name="Group 131" hidden="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GrpSpPr/>
        </xdr:nvGrpSpPr>
        <xdr:grpSpPr>
          <a:xfrm>
            <a:off x="17944285" y="695376"/>
            <a:ext cx="544566" cy="549089"/>
            <a:chOff x="8628529" y="1008529"/>
            <a:chExt cx="548640" cy="549089"/>
          </a:xfrm>
        </xdr:grpSpPr>
        <xdr:sp macro="[0]!Menu_Home" textlink="">
          <xdr:nvSpPr>
            <xdr:cNvPr id="133" name="Oval 132" hidden="1">
              <a:extLst>
                <a:ext uri="{FF2B5EF4-FFF2-40B4-BE49-F238E27FC236}">
                  <a16:creationId xmlns:a16="http://schemas.microsoft.com/office/drawing/2014/main" id="{00000000-0008-0000-0000-000085000000}"/>
                </a:ext>
              </a:extLst>
            </xdr:cNvPr>
            <xdr:cNvSpPr/>
          </xdr:nvSpPr>
          <xdr:spPr>
            <a:xfrm>
              <a:off x="8628529" y="1008529"/>
              <a:ext cx="548640" cy="549089"/>
            </a:xfrm>
            <a:prstGeom prst="ellipse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134" name="Picture 133" hidden="1">
              <a:extLst>
                <a:ext uri="{FF2B5EF4-FFF2-40B4-BE49-F238E27FC236}">
                  <a16:creationId xmlns:a16="http://schemas.microsoft.com/office/drawing/2014/main" id="{00000000-0008-0000-0000-00008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746925" y="1123053"/>
              <a:ext cx="311848" cy="32004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18</xdr:col>
      <xdr:colOff>216987</xdr:colOff>
      <xdr:row>0</xdr:row>
      <xdr:rowOff>79074</xdr:rowOff>
    </xdr:from>
    <xdr:to>
      <xdr:col>45</xdr:col>
      <xdr:colOff>264862</xdr:colOff>
      <xdr:row>3</xdr:row>
      <xdr:rowOff>183369</xdr:rowOff>
    </xdr:to>
    <xdr:grpSp>
      <xdr:nvGrpSpPr>
        <xdr:cNvPr id="145" name="PurchGrp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GrpSpPr/>
      </xdr:nvGrpSpPr>
      <xdr:grpSpPr>
        <a:xfrm>
          <a:off x="9582150" y="79074"/>
          <a:ext cx="6970462" cy="1234595"/>
          <a:chOff x="26046546" y="79074"/>
          <a:chExt cx="6921156" cy="1236089"/>
        </a:xfrm>
      </xdr:grpSpPr>
      <xdr:pic>
        <xdr:nvPicPr>
          <xdr:cNvPr id="118" name="Picture 117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501302" y="79074"/>
            <a:ext cx="355306" cy="481012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123" name="Group 122" hidden="1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GrpSpPr/>
        </xdr:nvGrpSpPr>
        <xdr:grpSpPr>
          <a:xfrm>
            <a:off x="31728839" y="815786"/>
            <a:ext cx="1238863" cy="385935"/>
            <a:chOff x="15964964" y="800099"/>
            <a:chExt cx="1240892" cy="389857"/>
          </a:xfrm>
        </xdr:grpSpPr>
        <xdr:sp macro="[0]!Purchase_Save" textlink="">
          <xdr:nvSpPr>
            <xdr:cNvPr id="124" name="Rectangle 123" hidden="1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/>
          </xdr:nvSpPr>
          <xdr:spPr>
            <a:xfrm>
              <a:off x="15992474" y="847725"/>
              <a:ext cx="1213382" cy="28575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Save</a:t>
              </a:r>
              <a:r>
                <a:rPr lang="en-US" sz="1100" b="1" baseline="0"/>
                <a:t> Purchase</a:t>
              </a:r>
              <a:endParaRPr lang="en-US" sz="1100" b="1"/>
            </a:p>
          </xdr:txBody>
        </xdr:sp>
        <xdr:pic macro="[0]!Purchase_Save">
          <xdr:nvPicPr>
            <xdr:cNvPr id="125" name="Picture 124" hidden="1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964964" y="800099"/>
              <a:ext cx="386351" cy="389857"/>
            </a:xfrm>
            <a:prstGeom prst="rect">
              <a:avLst/>
            </a:prstGeom>
          </xdr:spPr>
        </xdr:pic>
      </xdr:grpSp>
      <xdr:grpSp>
        <xdr:nvGrpSpPr>
          <xdr:cNvPr id="135" name="Group 134" hidden="1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GrpSpPr/>
        </xdr:nvGrpSpPr>
        <xdr:grpSpPr>
          <a:xfrm>
            <a:off x="26046546" y="768111"/>
            <a:ext cx="548640" cy="547052"/>
            <a:chOff x="8628529" y="1008529"/>
            <a:chExt cx="548640" cy="549089"/>
          </a:xfrm>
        </xdr:grpSpPr>
        <xdr:sp macro="[0]!Menu_Home" textlink="">
          <xdr:nvSpPr>
            <xdr:cNvPr id="136" name="Oval 135" hidden="1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SpPr/>
          </xdr:nvSpPr>
          <xdr:spPr>
            <a:xfrm>
              <a:off x="8628529" y="1008529"/>
              <a:ext cx="548640" cy="549089"/>
            </a:xfrm>
            <a:prstGeom prst="ellipse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137" name="Picture 136" hidden="1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746925" y="1123053"/>
              <a:ext cx="311848" cy="32004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26</xdr:col>
      <xdr:colOff>57047</xdr:colOff>
      <xdr:row>0</xdr:row>
      <xdr:rowOff>130753</xdr:rowOff>
    </xdr:from>
    <xdr:to>
      <xdr:col>46</xdr:col>
      <xdr:colOff>305936</xdr:colOff>
      <xdr:row>2</xdr:row>
      <xdr:rowOff>160958</xdr:rowOff>
    </xdr:to>
    <xdr:grpSp>
      <xdr:nvGrpSpPr>
        <xdr:cNvPr id="144" name="ReportsGrp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GrpSpPr/>
      </xdr:nvGrpSpPr>
      <xdr:grpSpPr>
        <a:xfrm>
          <a:off x="9582150" y="130753"/>
          <a:ext cx="7621136" cy="931905"/>
          <a:chOff x="34302224" y="130753"/>
          <a:chExt cx="7565106" cy="937881"/>
        </a:xfrm>
      </xdr:grpSpPr>
      <xdr:pic>
        <xdr:nvPicPr>
          <xdr:cNvPr id="119" name="Picture 118" hidden="1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759524" y="130753"/>
            <a:ext cx="418558" cy="44334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129" name="Group 128" hidden="1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GrpSpPr/>
        </xdr:nvGrpSpPr>
        <xdr:grpSpPr>
          <a:xfrm>
            <a:off x="40573579" y="624179"/>
            <a:ext cx="1293751" cy="282875"/>
            <a:chOff x="38558833" y="967298"/>
            <a:chExt cx="1296767" cy="285891"/>
          </a:xfrm>
        </xdr:grpSpPr>
        <xdr:sp macro="[0]!Reports_Refresh" textlink="">
          <xdr:nvSpPr>
            <xdr:cNvPr id="127" name="Rectangle 126" hidden="1">
              <a:extLst>
                <a:ext uri="{FF2B5EF4-FFF2-40B4-BE49-F238E27FC236}">
                  <a16:creationId xmlns:a16="http://schemas.microsoft.com/office/drawing/2014/main" id="{00000000-0008-0000-0000-00007F000000}"/>
                </a:ext>
              </a:extLst>
            </xdr:cNvPr>
            <xdr:cNvSpPr/>
          </xdr:nvSpPr>
          <xdr:spPr>
            <a:xfrm>
              <a:off x="38623773" y="967298"/>
              <a:ext cx="1231827" cy="285891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Refresh Report</a:t>
              </a:r>
            </a:p>
          </xdr:txBody>
        </xdr:sp>
        <xdr:pic macro="[0]!Reports_Refresh">
          <xdr:nvPicPr>
            <xdr:cNvPr id="103" name="Picture 102" hidden="1">
              <a:extLst>
                <a:ext uri="{FF2B5EF4-FFF2-40B4-BE49-F238E27FC236}">
                  <a16:creationId xmlns:a16="http://schemas.microsoft.com/office/drawing/2014/main" id="{00000000-0008-0000-0000-00006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558833" y="971575"/>
              <a:ext cx="377620" cy="277336"/>
            </a:xfrm>
            <a:prstGeom prst="rect">
              <a:avLst/>
            </a:prstGeom>
          </xdr:spPr>
        </xdr:pic>
      </xdr:grpSp>
      <xdr:grpSp>
        <xdr:nvGrpSpPr>
          <xdr:cNvPr id="138" name="Group 137" hidden="1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GrpSpPr/>
        </xdr:nvGrpSpPr>
        <xdr:grpSpPr>
          <a:xfrm>
            <a:off x="34302224" y="521582"/>
            <a:ext cx="548640" cy="547052"/>
            <a:chOff x="8628529" y="1008529"/>
            <a:chExt cx="548640" cy="549089"/>
          </a:xfrm>
        </xdr:grpSpPr>
        <xdr:sp macro="[0]!Menu_Home" textlink="">
          <xdr:nvSpPr>
            <xdr:cNvPr id="139" name="Oval 138" hidden="1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SpPr/>
          </xdr:nvSpPr>
          <xdr:spPr>
            <a:xfrm>
              <a:off x="8628529" y="1008529"/>
              <a:ext cx="548640" cy="549089"/>
            </a:xfrm>
            <a:prstGeom prst="ellipse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140" name="Picture 139" hidden="1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746925" y="1123053"/>
              <a:ext cx="311848" cy="32004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30</xdr:col>
      <xdr:colOff>80961</xdr:colOff>
      <xdr:row>2</xdr:row>
      <xdr:rowOff>219075</xdr:rowOff>
    </xdr:from>
    <xdr:to>
      <xdr:col>37</xdr:col>
      <xdr:colOff>285749</xdr:colOff>
      <xdr:row>17</xdr:row>
      <xdr:rowOff>28575</xdr:rowOff>
    </xdr:to>
    <xdr:graphicFrame macro="">
      <xdr:nvGraphicFramePr>
        <xdr:cNvPr id="151" name="TotalSales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isus.In@parturientmontes.edu" TargetMode="External"/><Relationship Id="rId2" Type="http://schemas.openxmlformats.org/officeDocument/2006/relationships/hyperlink" Target="mailto:.lobortis@liberoduinec.edu" TargetMode="External"/><Relationship Id="rId1" Type="http://schemas.openxmlformats.org/officeDocument/2006/relationships/hyperlink" Target="mailto:auctor.velit@eleifend.co.uk" TargetMode="External"/><Relationship Id="rId5" Type="http://schemas.openxmlformats.org/officeDocument/2006/relationships/hyperlink" Target="mailto:dictuu@maurissagittisplacerat.edu" TargetMode="External"/><Relationship Id="rId4" Type="http://schemas.openxmlformats.org/officeDocument/2006/relationships/hyperlink" Target="mailto:Nullam.lobortis@quamafelis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123"/>
  <sheetViews>
    <sheetView tabSelected="1" topLeftCell="C1" zoomScaleNormal="100" workbookViewId="0">
      <selection activeCell="C2" sqref="C2"/>
    </sheetView>
  </sheetViews>
  <sheetFormatPr defaultRowHeight="14.5" x14ac:dyDescent="0.35"/>
  <cols>
    <col min="1" max="1" width="13.7265625" hidden="1" customWidth="1"/>
    <col min="2" max="2" width="0" hidden="1" customWidth="1"/>
    <col min="3" max="3" width="115.1796875" customWidth="1"/>
    <col min="4" max="4" width="22" customWidth="1"/>
    <col min="5" max="5" width="18" hidden="1" customWidth="1"/>
    <col min="6" max="6" width="12.81640625" hidden="1" customWidth="1"/>
    <col min="7" max="7" width="18" hidden="1" customWidth="1"/>
    <col min="8" max="8" width="9.1796875" hidden="1" customWidth="1"/>
    <col min="9" max="9" width="15.81640625" hidden="1" customWidth="1"/>
    <col min="10" max="10" width="18.81640625" hidden="1" customWidth="1"/>
    <col min="11" max="11" width="9.1796875" hidden="1" customWidth="1"/>
    <col min="12" max="12" width="18" hidden="1" customWidth="1"/>
    <col min="13" max="13" width="19.1796875" hidden="1" customWidth="1"/>
    <col min="14" max="14" width="34.1796875" hidden="1" customWidth="1"/>
    <col min="15" max="15" width="9.1796875" hidden="1" customWidth="1"/>
    <col min="16" max="16" width="15.81640625" hidden="1" customWidth="1"/>
    <col min="17" max="17" width="20.54296875" hidden="1" customWidth="1"/>
    <col min="18" max="18" width="9.1796875" hidden="1" customWidth="1"/>
    <col min="19" max="19" width="12.54296875" hidden="1" customWidth="1"/>
    <col min="20" max="20" width="16.453125" hidden="1" customWidth="1"/>
    <col min="21" max="21" width="34.1796875" hidden="1" customWidth="1"/>
    <col min="22" max="22" width="9.1796875" hidden="1" customWidth="1"/>
    <col min="23" max="23" width="15.81640625" hidden="1" customWidth="1"/>
    <col min="24" max="24" width="20.54296875" hidden="1" customWidth="1"/>
    <col min="25" max="26" width="9.1796875" hidden="1" customWidth="1"/>
    <col min="27" max="27" width="27.7265625" hidden="1" customWidth="1"/>
    <col min="28" max="28" width="14.54296875" hidden="1" customWidth="1"/>
    <col min="29" max="29" width="20.7265625" hidden="1" customWidth="1"/>
    <col min="30" max="30" width="14.81640625" hidden="1" customWidth="1"/>
    <col min="31" max="31" width="15.81640625" hidden="1" customWidth="1"/>
    <col min="32" max="34" width="9.1796875" hidden="1" customWidth="1"/>
  </cols>
  <sheetData>
    <row r="1" spans="1:58" ht="51" customHeight="1" x14ac:dyDescent="0.35">
      <c r="A1" s="1"/>
      <c r="B1" s="1"/>
      <c r="C1" s="72" t="s">
        <v>0</v>
      </c>
      <c r="D1" s="5"/>
      <c r="E1" s="109" t="s">
        <v>1</v>
      </c>
      <c r="F1" s="109"/>
      <c r="G1" s="109"/>
      <c r="H1" s="109"/>
      <c r="I1" s="109"/>
      <c r="J1" s="109"/>
      <c r="K1" s="57"/>
      <c r="L1" s="58"/>
      <c r="M1" s="109" t="s">
        <v>5</v>
      </c>
      <c r="N1" s="109"/>
      <c r="O1" s="109"/>
      <c r="P1" s="109"/>
      <c r="Q1" s="109"/>
      <c r="R1" s="57"/>
      <c r="S1" s="57"/>
      <c r="T1" s="109" t="s">
        <v>12</v>
      </c>
      <c r="U1" s="109"/>
      <c r="V1" s="109"/>
      <c r="W1" s="109"/>
      <c r="X1" s="109"/>
      <c r="Y1" s="57"/>
      <c r="Z1" s="57"/>
      <c r="AA1" s="109" t="s">
        <v>14</v>
      </c>
      <c r="AB1" s="109"/>
      <c r="AC1" s="109"/>
      <c r="AD1" s="109"/>
      <c r="AE1" s="109"/>
      <c r="AF1" s="109"/>
      <c r="AG1" s="57"/>
      <c r="AH1" s="57"/>
      <c r="AI1" s="57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</row>
    <row r="2" spans="1:58" ht="20.25" customHeight="1" x14ac:dyDescent="0.35">
      <c r="A2" s="1"/>
      <c r="B2" s="1"/>
      <c r="C2" s="3"/>
      <c r="D2" s="3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1" t="s">
        <v>249</v>
      </c>
      <c r="AC2" s="52">
        <v>43831</v>
      </c>
      <c r="AD2" s="53" t="s">
        <v>250</v>
      </c>
      <c r="AE2" s="52">
        <v>43860</v>
      </c>
      <c r="AF2" s="59"/>
      <c r="AG2" s="59"/>
      <c r="AH2" s="59"/>
      <c r="AI2" s="59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</row>
    <row r="3" spans="1:58" s="10" customFormat="1" ht="18" customHeight="1" x14ac:dyDescent="0.35">
      <c r="A3" s="8"/>
      <c r="B3" s="8"/>
      <c r="C3" s="9"/>
      <c r="D3" s="9"/>
      <c r="E3" s="60"/>
      <c r="F3" s="7" t="s">
        <v>11</v>
      </c>
      <c r="G3" s="98">
        <v>43831</v>
      </c>
      <c r="H3" s="7" t="s">
        <v>3</v>
      </c>
      <c r="I3" s="99">
        <v>120</v>
      </c>
      <c r="J3" s="60"/>
      <c r="K3" s="60"/>
      <c r="L3" s="60"/>
      <c r="M3" s="7" t="s">
        <v>243</v>
      </c>
      <c r="N3" s="6" t="s">
        <v>59</v>
      </c>
      <c r="O3" s="7" t="s">
        <v>11</v>
      </c>
      <c r="P3" s="100">
        <v>43845</v>
      </c>
      <c r="Q3" s="60"/>
      <c r="R3" s="60"/>
      <c r="S3" s="60"/>
      <c r="T3" s="11" t="s">
        <v>246</v>
      </c>
      <c r="U3" s="6" t="s">
        <v>225</v>
      </c>
      <c r="V3" s="7" t="s">
        <v>11</v>
      </c>
      <c r="W3" s="100">
        <v>43845</v>
      </c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</row>
    <row r="4" spans="1:58" s="10" customFormat="1" ht="18" customHeight="1" x14ac:dyDescent="0.35">
      <c r="A4" s="12" t="s">
        <v>228</v>
      </c>
      <c r="B4" s="13" t="str">
        <f ca="1">IFERROR(INDEX(Lists!D5:D30,MATCH(G5,Accounts,0),1),"")</f>
        <v>Income</v>
      </c>
      <c r="C4" s="9"/>
      <c r="D4" s="9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102" t="s">
        <v>15</v>
      </c>
      <c r="AB4" s="60"/>
      <c r="AC4" s="62" t="s">
        <v>6</v>
      </c>
      <c r="AD4" s="62" t="s">
        <v>230</v>
      </c>
      <c r="AE4" s="62"/>
      <c r="AF4" s="62"/>
      <c r="AG4" s="61"/>
      <c r="AH4" s="61"/>
      <c r="AI4" s="61"/>
      <c r="AJ4" s="54"/>
      <c r="AK4" s="54"/>
      <c r="AL4" s="54"/>
      <c r="AM4" s="54"/>
      <c r="AN4" s="54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</row>
    <row r="5" spans="1:58" s="10" customFormat="1" ht="18" customHeight="1" x14ac:dyDescent="0.35">
      <c r="A5" s="12" t="s">
        <v>16</v>
      </c>
      <c r="B5" s="13">
        <v>4</v>
      </c>
      <c r="C5" s="9"/>
      <c r="D5" s="9"/>
      <c r="E5" s="60"/>
      <c r="F5" s="7" t="s">
        <v>2</v>
      </c>
      <c r="G5" s="6" t="s">
        <v>187</v>
      </c>
      <c r="H5" s="7" t="s">
        <v>4</v>
      </c>
      <c r="I5" s="6" t="s">
        <v>203</v>
      </c>
      <c r="J5" s="60"/>
      <c r="K5" s="60"/>
      <c r="L5" s="60"/>
      <c r="M5" s="60"/>
      <c r="N5" s="60"/>
      <c r="O5" s="60"/>
      <c r="P5" s="63"/>
      <c r="Q5" s="64"/>
      <c r="R5" s="60"/>
      <c r="S5" s="60"/>
      <c r="T5" s="60"/>
      <c r="U5" s="60"/>
      <c r="V5" s="60"/>
      <c r="W5" s="63"/>
      <c r="X5" s="64"/>
      <c r="Y5" s="60"/>
      <c r="Z5" s="60"/>
      <c r="AA5" s="102" t="s">
        <v>235</v>
      </c>
      <c r="AB5" s="60"/>
      <c r="AC5" s="107" t="s">
        <v>59</v>
      </c>
      <c r="AD5" s="103">
        <v>49</v>
      </c>
      <c r="AE5" s="66"/>
      <c r="AF5" s="66"/>
      <c r="AG5" s="60"/>
      <c r="AH5" s="60"/>
      <c r="AI5" s="60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</row>
    <row r="6" spans="1:58" s="10" customFormat="1" ht="18" customHeight="1" x14ac:dyDescent="0.35">
      <c r="A6" s="12" t="s">
        <v>183</v>
      </c>
      <c r="B6" s="13">
        <f ca="1">IFERROR(MAX(InvNumb)+1,1)</f>
        <v>8</v>
      </c>
      <c r="C6" s="9"/>
      <c r="D6" s="9"/>
      <c r="E6" s="60"/>
      <c r="F6" s="60"/>
      <c r="G6" s="60"/>
      <c r="H6" s="60"/>
      <c r="I6" s="60"/>
      <c r="J6" s="60"/>
      <c r="K6" s="60"/>
      <c r="L6" s="60"/>
      <c r="M6" s="61"/>
      <c r="N6" s="61"/>
      <c r="O6" s="61"/>
      <c r="P6" s="73" t="s">
        <v>244</v>
      </c>
      <c r="Q6" s="101">
        <f>SUM(Q8:Q51)</f>
        <v>201</v>
      </c>
      <c r="R6" s="60"/>
      <c r="S6" s="60"/>
      <c r="T6" s="61"/>
      <c r="U6" s="61"/>
      <c r="V6" s="61"/>
      <c r="W6" s="73" t="s">
        <v>247</v>
      </c>
      <c r="X6" s="101">
        <f>SUM(X8:X51)</f>
        <v>468</v>
      </c>
      <c r="Y6" s="60"/>
      <c r="Z6" s="60"/>
      <c r="AA6" s="102" t="s">
        <v>248</v>
      </c>
      <c r="AB6" s="60"/>
      <c r="AC6" s="108" t="s">
        <v>149</v>
      </c>
      <c r="AD6" s="103">
        <v>141</v>
      </c>
      <c r="AE6" s="66"/>
      <c r="AF6" s="66"/>
      <c r="AG6" s="60"/>
      <c r="AH6" s="60"/>
      <c r="AI6" s="60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</row>
    <row r="7" spans="1:58" s="10" customFormat="1" ht="18" customHeight="1" x14ac:dyDescent="0.35">
      <c r="A7" s="12" t="s">
        <v>184</v>
      </c>
      <c r="B7" s="13">
        <f ca="1">IFERROR(MAX(PurchNumb)+1,1)</f>
        <v>5</v>
      </c>
      <c r="C7" s="9"/>
      <c r="D7" s="9"/>
      <c r="E7" s="60"/>
      <c r="F7" s="7" t="s">
        <v>182</v>
      </c>
      <c r="G7" s="110" t="s">
        <v>253</v>
      </c>
      <c r="H7" s="111"/>
      <c r="I7" s="111"/>
      <c r="J7" s="60"/>
      <c r="K7" s="60"/>
      <c r="L7" s="60"/>
      <c r="M7" s="95" t="s">
        <v>7</v>
      </c>
      <c r="N7" s="95" t="s">
        <v>8</v>
      </c>
      <c r="O7" s="95" t="s">
        <v>245</v>
      </c>
      <c r="P7" s="96" t="s">
        <v>3</v>
      </c>
      <c r="Q7" s="97" t="s">
        <v>10</v>
      </c>
      <c r="R7" s="60"/>
      <c r="S7" s="60"/>
      <c r="T7" s="95" t="s">
        <v>7</v>
      </c>
      <c r="U7" s="95" t="s">
        <v>8</v>
      </c>
      <c r="V7" s="95" t="s">
        <v>245</v>
      </c>
      <c r="W7" s="96" t="s">
        <v>3</v>
      </c>
      <c r="X7" s="97" t="s">
        <v>10</v>
      </c>
      <c r="Y7" s="60"/>
      <c r="Z7" s="60"/>
      <c r="AA7" s="60"/>
      <c r="AB7" s="60"/>
      <c r="AC7" s="108" t="s">
        <v>95</v>
      </c>
      <c r="AD7" s="103">
        <v>130</v>
      </c>
      <c r="AE7" s="66"/>
      <c r="AF7" s="66"/>
      <c r="AG7" s="60"/>
      <c r="AH7" s="60"/>
      <c r="AI7" s="60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s="10" customFormat="1" ht="18" customHeight="1" x14ac:dyDescent="0.35">
      <c r="A8" s="8"/>
      <c r="B8" s="8"/>
      <c r="C8" s="9"/>
      <c r="D8" s="9"/>
      <c r="E8" s="60"/>
      <c r="F8" s="60"/>
      <c r="G8" s="60"/>
      <c r="H8" s="60"/>
      <c r="I8" s="60"/>
      <c r="J8" s="60"/>
      <c r="K8" s="60"/>
      <c r="L8" s="60"/>
      <c r="M8" s="74" t="s">
        <v>173</v>
      </c>
      <c r="N8" s="75" t="s">
        <v>173</v>
      </c>
      <c r="O8" s="76">
        <v>1</v>
      </c>
      <c r="P8" s="85">
        <v>22</v>
      </c>
      <c r="Q8" s="86">
        <f>O8*P8</f>
        <v>22</v>
      </c>
      <c r="R8" s="60"/>
      <c r="S8" s="60"/>
      <c r="T8" s="74" t="s">
        <v>215</v>
      </c>
      <c r="U8" s="75" t="s">
        <v>169</v>
      </c>
      <c r="V8" s="76">
        <v>12</v>
      </c>
      <c r="W8" s="85">
        <v>11</v>
      </c>
      <c r="X8" s="86">
        <f>V8*W8</f>
        <v>132</v>
      </c>
      <c r="Y8" s="60"/>
      <c r="Z8" s="60"/>
      <c r="AA8" s="60"/>
      <c r="AB8" s="60"/>
      <c r="AC8" s="108"/>
      <c r="AD8" s="103"/>
      <c r="AE8" s="66"/>
      <c r="AF8" s="66"/>
      <c r="AG8" s="60"/>
      <c r="AH8" s="60"/>
      <c r="AI8" s="60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</row>
    <row r="9" spans="1:58" s="10" customFormat="1" ht="18" customHeight="1" x14ac:dyDescent="0.35">
      <c r="A9" s="8"/>
      <c r="B9" s="8"/>
      <c r="C9" s="9"/>
      <c r="D9" s="9"/>
      <c r="E9" s="60"/>
      <c r="F9" s="60"/>
      <c r="G9" s="60"/>
      <c r="H9" s="60"/>
      <c r="I9" s="60"/>
      <c r="J9" s="60"/>
      <c r="K9" s="60"/>
      <c r="L9" s="60"/>
      <c r="M9" s="77" t="s">
        <v>215</v>
      </c>
      <c r="N9" s="78" t="s">
        <v>169</v>
      </c>
      <c r="O9" s="79">
        <v>10</v>
      </c>
      <c r="P9" s="87">
        <v>16</v>
      </c>
      <c r="Q9" s="88">
        <f>O9*P9</f>
        <v>160</v>
      </c>
      <c r="R9" s="60"/>
      <c r="S9" s="60"/>
      <c r="T9" s="77" t="s">
        <v>214</v>
      </c>
      <c r="U9" s="78" t="s">
        <v>167</v>
      </c>
      <c r="V9" s="79">
        <v>12</v>
      </c>
      <c r="W9" s="87">
        <v>14</v>
      </c>
      <c r="X9" s="88">
        <f>V9*W9</f>
        <v>168</v>
      </c>
      <c r="Y9" s="60"/>
      <c r="Z9" s="60"/>
      <c r="AA9" s="60"/>
      <c r="AB9" s="60"/>
      <c r="AC9" s="108"/>
      <c r="AD9" s="103"/>
      <c r="AE9" s="66"/>
      <c r="AF9" s="66"/>
      <c r="AG9" s="60"/>
      <c r="AH9" s="60"/>
      <c r="AI9" s="60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</row>
    <row r="10" spans="1:58" s="10" customFormat="1" ht="18" customHeight="1" x14ac:dyDescent="0.35">
      <c r="A10" s="8"/>
      <c r="B10" s="8"/>
      <c r="C10" s="9"/>
      <c r="D10" s="9"/>
      <c r="E10" s="60"/>
      <c r="F10" s="60"/>
      <c r="G10" s="60"/>
      <c r="H10" s="60"/>
      <c r="I10" s="60"/>
      <c r="J10" s="60"/>
      <c r="K10" s="60"/>
      <c r="L10" s="60"/>
      <c r="M10" s="77" t="s">
        <v>214</v>
      </c>
      <c r="N10" s="78" t="s">
        <v>167</v>
      </c>
      <c r="O10" s="79">
        <v>1</v>
      </c>
      <c r="P10" s="87">
        <v>19</v>
      </c>
      <c r="Q10" s="88">
        <f>O10*P10</f>
        <v>19</v>
      </c>
      <c r="R10" s="60"/>
      <c r="S10" s="60"/>
      <c r="T10" s="77" t="s">
        <v>214</v>
      </c>
      <c r="U10" s="78" t="s">
        <v>167</v>
      </c>
      <c r="V10" s="79">
        <v>12</v>
      </c>
      <c r="W10" s="87">
        <v>14</v>
      </c>
      <c r="X10" s="88">
        <f>V10*W10</f>
        <v>168</v>
      </c>
      <c r="Y10" s="60"/>
      <c r="Z10" s="60"/>
      <c r="AA10" s="60"/>
      <c r="AB10" s="60"/>
      <c r="AC10" s="108"/>
      <c r="AD10" s="103"/>
      <c r="AE10" s="66"/>
      <c r="AF10" s="66"/>
      <c r="AG10" s="60"/>
      <c r="AH10" s="60"/>
      <c r="AI10" s="60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</row>
    <row r="11" spans="1:58" s="10" customFormat="1" ht="18" customHeight="1" x14ac:dyDescent="0.35">
      <c r="A11" s="8"/>
      <c r="B11" s="8"/>
      <c r="C11" s="9"/>
      <c r="D11" s="9"/>
      <c r="E11" s="60"/>
      <c r="F11" s="60"/>
      <c r="G11" s="60"/>
      <c r="H11" s="60"/>
      <c r="I11" s="60"/>
      <c r="J11" s="60"/>
      <c r="K11" s="60"/>
      <c r="L11" s="60"/>
      <c r="M11" s="77"/>
      <c r="N11" s="78"/>
      <c r="O11" s="79"/>
      <c r="P11" s="87"/>
      <c r="Q11" s="88"/>
      <c r="R11" s="60"/>
      <c r="S11" s="60"/>
      <c r="T11" s="77"/>
      <c r="U11" s="78"/>
      <c r="V11" s="79"/>
      <c r="W11" s="87"/>
      <c r="X11" s="88"/>
      <c r="Y11" s="60"/>
      <c r="Z11" s="60"/>
      <c r="AA11" s="60"/>
      <c r="AB11" s="60"/>
      <c r="AC11" s="108"/>
      <c r="AD11" s="103"/>
      <c r="AE11" s="66"/>
      <c r="AF11" s="66"/>
      <c r="AG11" s="60"/>
      <c r="AH11" s="60"/>
      <c r="AI11" s="60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</row>
    <row r="12" spans="1:58" s="10" customFormat="1" ht="18" customHeight="1" x14ac:dyDescent="0.35">
      <c r="A12" s="8"/>
      <c r="B12" s="8"/>
      <c r="C12" s="9"/>
      <c r="D12" s="9"/>
      <c r="E12" s="60"/>
      <c r="F12" s="60"/>
      <c r="G12" s="60"/>
      <c r="H12" s="60"/>
      <c r="I12" s="60"/>
      <c r="J12" s="60"/>
      <c r="K12" s="60"/>
      <c r="L12" s="60"/>
      <c r="M12" s="77"/>
      <c r="N12" s="78"/>
      <c r="O12" s="79"/>
      <c r="P12" s="87"/>
      <c r="Q12" s="88"/>
      <c r="R12" s="60"/>
      <c r="S12" s="60"/>
      <c r="T12" s="77"/>
      <c r="U12" s="78"/>
      <c r="V12" s="79"/>
      <c r="W12" s="87"/>
      <c r="X12" s="88"/>
      <c r="Y12" s="60"/>
      <c r="Z12" s="60"/>
      <c r="AA12" s="60"/>
      <c r="AB12" s="60"/>
      <c r="AC12" s="108"/>
      <c r="AD12" s="103"/>
      <c r="AE12" s="66"/>
      <c r="AF12" s="66"/>
      <c r="AG12" s="60"/>
      <c r="AH12" s="60"/>
      <c r="AI12" s="60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</row>
    <row r="13" spans="1:58" s="10" customFormat="1" ht="18" customHeight="1" x14ac:dyDescent="0.35">
      <c r="A13" s="8"/>
      <c r="B13" s="8"/>
      <c r="C13" s="9"/>
      <c r="D13" s="9"/>
      <c r="E13" s="60"/>
      <c r="F13" s="60"/>
      <c r="G13" s="60"/>
      <c r="H13" s="60"/>
      <c r="I13" s="60"/>
      <c r="J13" s="60"/>
      <c r="K13" s="60"/>
      <c r="L13" s="60"/>
      <c r="M13" s="77"/>
      <c r="N13" s="78"/>
      <c r="O13" s="79"/>
      <c r="P13" s="87"/>
      <c r="Q13" s="88"/>
      <c r="R13" s="60"/>
      <c r="S13" s="60"/>
      <c r="T13" s="77"/>
      <c r="U13" s="78"/>
      <c r="V13" s="79"/>
      <c r="W13" s="87"/>
      <c r="X13" s="88"/>
      <c r="Y13" s="60"/>
      <c r="Z13" s="60"/>
      <c r="AA13" s="60"/>
      <c r="AB13" s="60"/>
      <c r="AC13" s="108"/>
      <c r="AD13" s="103"/>
      <c r="AE13" s="66"/>
      <c r="AF13" s="66"/>
      <c r="AG13" s="60"/>
      <c r="AH13" s="60"/>
      <c r="AI13" s="60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</row>
    <row r="14" spans="1:58" s="10" customFormat="1" ht="18" customHeight="1" x14ac:dyDescent="0.35">
      <c r="A14" s="8"/>
      <c r="B14" s="8"/>
      <c r="C14" s="9"/>
      <c r="D14" s="9"/>
      <c r="E14" s="60"/>
      <c r="F14" s="60"/>
      <c r="G14" s="60"/>
      <c r="H14" s="60"/>
      <c r="I14" s="60"/>
      <c r="J14" s="60"/>
      <c r="K14" s="60"/>
      <c r="L14" s="60"/>
      <c r="M14" s="77"/>
      <c r="N14" s="78"/>
      <c r="O14" s="79"/>
      <c r="P14" s="87"/>
      <c r="Q14" s="88"/>
      <c r="R14" s="60"/>
      <c r="S14" s="60"/>
      <c r="T14" s="77"/>
      <c r="U14" s="78"/>
      <c r="V14" s="79"/>
      <c r="W14" s="87"/>
      <c r="X14" s="88"/>
      <c r="Y14" s="60"/>
      <c r="Z14" s="60"/>
      <c r="AA14" s="60"/>
      <c r="AB14" s="60"/>
      <c r="AC14" s="108"/>
      <c r="AD14" s="103"/>
      <c r="AE14" s="66"/>
      <c r="AF14" s="66"/>
      <c r="AG14" s="60"/>
      <c r="AH14" s="60"/>
      <c r="AI14" s="60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</row>
    <row r="15" spans="1:58" s="10" customFormat="1" ht="18" customHeight="1" x14ac:dyDescent="0.35">
      <c r="A15" s="8"/>
      <c r="B15" s="8"/>
      <c r="C15" s="9"/>
      <c r="D15" s="9"/>
      <c r="E15" s="60"/>
      <c r="F15" s="60"/>
      <c r="G15" s="60"/>
      <c r="H15" s="60"/>
      <c r="I15" s="60"/>
      <c r="J15" s="60"/>
      <c r="K15" s="60"/>
      <c r="L15" s="60"/>
      <c r="M15" s="77"/>
      <c r="N15" s="78"/>
      <c r="O15" s="79"/>
      <c r="P15" s="87"/>
      <c r="Q15" s="88"/>
      <c r="R15" s="60"/>
      <c r="S15" s="60"/>
      <c r="T15" s="77"/>
      <c r="U15" s="78"/>
      <c r="V15" s="79"/>
      <c r="W15" s="87"/>
      <c r="X15" s="88"/>
      <c r="Y15" s="60"/>
      <c r="Z15" s="60"/>
      <c r="AA15" s="60"/>
      <c r="AB15" s="60"/>
      <c r="AC15" s="108"/>
      <c r="AD15" s="65"/>
      <c r="AE15" s="66"/>
      <c r="AF15" s="66"/>
      <c r="AG15" s="60"/>
      <c r="AH15" s="60"/>
      <c r="AI15" s="60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</row>
    <row r="16" spans="1:58" s="10" customFormat="1" ht="18" customHeight="1" x14ac:dyDescent="0.35">
      <c r="A16" s="8"/>
      <c r="B16" s="8"/>
      <c r="C16" s="9"/>
      <c r="D16" s="9"/>
      <c r="E16" s="60"/>
      <c r="F16" s="60"/>
      <c r="G16" s="60"/>
      <c r="H16" s="60"/>
      <c r="I16" s="60"/>
      <c r="J16" s="60"/>
      <c r="K16" s="60"/>
      <c r="L16" s="60"/>
      <c r="M16" s="77"/>
      <c r="N16" s="78"/>
      <c r="O16" s="79"/>
      <c r="P16" s="87"/>
      <c r="Q16" s="88"/>
      <c r="R16" s="60"/>
      <c r="S16" s="60"/>
      <c r="T16" s="77"/>
      <c r="U16" s="78"/>
      <c r="V16" s="79"/>
      <c r="W16" s="87"/>
      <c r="X16" s="88"/>
      <c r="Y16" s="60"/>
      <c r="Z16" s="60"/>
      <c r="AA16" s="60"/>
      <c r="AB16" s="60"/>
      <c r="AC16" s="108"/>
      <c r="AD16" s="65"/>
      <c r="AE16" s="66"/>
      <c r="AF16" s="66"/>
      <c r="AG16" s="60"/>
      <c r="AH16" s="60"/>
      <c r="AI16" s="60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</row>
    <row r="17" spans="1:58" s="10" customFormat="1" ht="18" customHeight="1" x14ac:dyDescent="0.35">
      <c r="A17" s="8"/>
      <c r="B17" s="8"/>
      <c r="C17" s="9"/>
      <c r="D17" s="9"/>
      <c r="E17" s="60"/>
      <c r="F17" s="60"/>
      <c r="G17" s="60"/>
      <c r="H17" s="60"/>
      <c r="I17" s="60"/>
      <c r="J17" s="60"/>
      <c r="K17" s="60"/>
      <c r="L17" s="60"/>
      <c r="M17" s="77"/>
      <c r="N17" s="78"/>
      <c r="O17" s="79"/>
      <c r="P17" s="87"/>
      <c r="Q17" s="88"/>
      <c r="R17" s="60"/>
      <c r="S17" s="60"/>
      <c r="T17" s="77"/>
      <c r="U17" s="78"/>
      <c r="V17" s="79"/>
      <c r="W17" s="87"/>
      <c r="X17" s="88"/>
      <c r="Y17" s="60"/>
      <c r="Z17" s="60"/>
      <c r="AA17" s="60"/>
      <c r="AB17" s="60"/>
      <c r="AC17" s="108"/>
      <c r="AD17" s="65"/>
      <c r="AE17" s="66"/>
      <c r="AF17" s="66"/>
      <c r="AG17" s="60"/>
      <c r="AH17" s="60"/>
      <c r="AI17" s="60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</row>
    <row r="18" spans="1:58" s="10" customFormat="1" ht="18" customHeight="1" x14ac:dyDescent="0.35">
      <c r="A18" s="8"/>
      <c r="B18" s="8"/>
      <c r="C18" s="9"/>
      <c r="D18" s="9"/>
      <c r="E18" s="60"/>
      <c r="F18" s="60"/>
      <c r="G18" s="60"/>
      <c r="H18" s="60"/>
      <c r="I18" s="60"/>
      <c r="J18" s="60"/>
      <c r="K18" s="60"/>
      <c r="L18" s="60"/>
      <c r="M18" s="77"/>
      <c r="N18" s="78"/>
      <c r="O18" s="79"/>
      <c r="P18" s="87"/>
      <c r="Q18" s="88"/>
      <c r="R18" s="60"/>
      <c r="S18" s="60"/>
      <c r="T18" s="77"/>
      <c r="U18" s="78"/>
      <c r="V18" s="79"/>
      <c r="W18" s="87"/>
      <c r="X18" s="88"/>
      <c r="Y18" s="60"/>
      <c r="Z18" s="60"/>
      <c r="AA18" s="60"/>
      <c r="AB18" s="60"/>
      <c r="AC18" s="60"/>
      <c r="AD18" s="68"/>
      <c r="AE18" s="67"/>
      <c r="AF18" s="67"/>
      <c r="AG18" s="60"/>
      <c r="AH18" s="60"/>
      <c r="AI18" s="60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</row>
    <row r="19" spans="1:58" s="10" customFormat="1" ht="18" customHeight="1" x14ac:dyDescent="0.35">
      <c r="A19" s="8"/>
      <c r="B19" s="8"/>
      <c r="C19" s="9"/>
      <c r="D19" s="9"/>
      <c r="E19" s="60"/>
      <c r="F19" s="60"/>
      <c r="G19" s="60"/>
      <c r="H19" s="60"/>
      <c r="I19" s="60"/>
      <c r="J19" s="60"/>
      <c r="K19" s="60"/>
      <c r="L19" s="60"/>
      <c r="M19" s="77"/>
      <c r="N19" s="78"/>
      <c r="O19" s="79"/>
      <c r="P19" s="87"/>
      <c r="Q19" s="88"/>
      <c r="R19" s="60"/>
      <c r="S19" s="60"/>
      <c r="T19" s="77"/>
      <c r="U19" s="78"/>
      <c r="V19" s="79"/>
      <c r="W19" s="87"/>
      <c r="X19" s="88"/>
      <c r="Y19" s="60"/>
      <c r="Z19" s="60"/>
      <c r="AA19" s="60"/>
      <c r="AB19" s="60"/>
      <c r="AC19" s="60"/>
      <c r="AD19" s="68"/>
      <c r="AE19" s="67"/>
      <c r="AF19" s="67"/>
      <c r="AG19" s="60"/>
      <c r="AH19" s="60"/>
      <c r="AI19" s="60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</row>
    <row r="20" spans="1:58" s="10" customFormat="1" ht="18" customHeight="1" x14ac:dyDescent="0.35">
      <c r="A20" s="8"/>
      <c r="B20" s="8"/>
      <c r="C20" s="9"/>
      <c r="D20" s="9"/>
      <c r="E20" s="60"/>
      <c r="F20" s="60"/>
      <c r="G20" s="60"/>
      <c r="H20" s="60"/>
      <c r="I20" s="60"/>
      <c r="J20" s="60"/>
      <c r="K20" s="60"/>
      <c r="L20" s="60"/>
      <c r="M20" s="77"/>
      <c r="N20" s="78"/>
      <c r="O20" s="79"/>
      <c r="P20" s="87"/>
      <c r="Q20" s="88"/>
      <c r="R20" s="60"/>
      <c r="S20" s="60"/>
      <c r="T20" s="77"/>
      <c r="U20" s="78"/>
      <c r="V20" s="79"/>
      <c r="W20" s="87"/>
      <c r="X20" s="88"/>
      <c r="Y20" s="60"/>
      <c r="Z20" s="60"/>
      <c r="AA20" s="60"/>
      <c r="AB20" s="60"/>
      <c r="AC20" s="60"/>
      <c r="AD20" s="68"/>
      <c r="AE20" s="67"/>
      <c r="AF20" s="67"/>
      <c r="AG20" s="60"/>
      <c r="AH20" s="60"/>
      <c r="AI20" s="60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</row>
    <row r="21" spans="1:58" s="10" customFormat="1" ht="18" customHeight="1" x14ac:dyDescent="0.35">
      <c r="A21" s="8"/>
      <c r="B21" s="8"/>
      <c r="C21" s="9"/>
      <c r="D21" s="9"/>
      <c r="E21" s="60"/>
      <c r="F21" s="60"/>
      <c r="G21" s="60"/>
      <c r="H21" s="60"/>
      <c r="I21" s="60"/>
      <c r="J21" s="60"/>
      <c r="K21" s="60"/>
      <c r="L21" s="60"/>
      <c r="M21" s="77"/>
      <c r="N21" s="78"/>
      <c r="O21" s="79"/>
      <c r="P21" s="87"/>
      <c r="Q21" s="88"/>
      <c r="R21" s="60"/>
      <c r="S21" s="60"/>
      <c r="T21" s="77"/>
      <c r="U21" s="78"/>
      <c r="V21" s="79"/>
      <c r="W21" s="87"/>
      <c r="X21" s="88"/>
      <c r="Y21" s="60"/>
      <c r="Z21" s="60"/>
      <c r="AA21" s="60"/>
      <c r="AB21" s="60"/>
      <c r="AC21" s="60"/>
      <c r="AD21" s="68"/>
      <c r="AE21" s="67"/>
      <c r="AF21" s="67"/>
      <c r="AG21" s="60"/>
      <c r="AH21" s="60"/>
      <c r="AI21" s="60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</row>
    <row r="22" spans="1:58" s="10" customFormat="1" ht="18" customHeight="1" x14ac:dyDescent="0.35">
      <c r="A22" s="8"/>
      <c r="B22" s="8"/>
      <c r="C22" s="9"/>
      <c r="D22" s="9"/>
      <c r="E22" s="60"/>
      <c r="F22" s="60"/>
      <c r="G22" s="60"/>
      <c r="H22" s="60"/>
      <c r="I22" s="60"/>
      <c r="J22" s="60"/>
      <c r="K22" s="60"/>
      <c r="L22" s="60"/>
      <c r="M22" s="80"/>
      <c r="N22" s="81"/>
      <c r="O22" s="82"/>
      <c r="P22" s="89"/>
      <c r="Q22" s="90"/>
      <c r="R22" s="60"/>
      <c r="S22" s="60"/>
      <c r="T22" s="80"/>
      <c r="U22" s="81"/>
      <c r="V22" s="82"/>
      <c r="W22" s="89"/>
      <c r="X22" s="90"/>
      <c r="Y22" s="60"/>
      <c r="Z22" s="60"/>
      <c r="AA22" s="60"/>
      <c r="AB22" s="60"/>
      <c r="AC22" s="60"/>
      <c r="AD22" s="68"/>
      <c r="AE22" s="67"/>
      <c r="AF22" s="67"/>
      <c r="AG22" s="60"/>
      <c r="AH22" s="60"/>
      <c r="AI22" s="60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</row>
    <row r="23" spans="1:58" s="10" customFormat="1" ht="18" customHeight="1" x14ac:dyDescent="0.35">
      <c r="A23" s="8"/>
      <c r="B23" s="8"/>
      <c r="C23" s="9"/>
      <c r="D23" s="9"/>
      <c r="E23" s="60"/>
      <c r="F23" s="60"/>
      <c r="G23" s="60"/>
      <c r="H23" s="60"/>
      <c r="I23" s="60"/>
      <c r="J23" s="60"/>
      <c r="K23" s="60"/>
      <c r="L23" s="60"/>
      <c r="M23" s="80"/>
      <c r="N23" s="81"/>
      <c r="O23" s="82"/>
      <c r="P23" s="89"/>
      <c r="Q23" s="90"/>
      <c r="R23" s="60"/>
      <c r="S23" s="60"/>
      <c r="T23" s="80"/>
      <c r="U23" s="81"/>
      <c r="V23" s="82"/>
      <c r="W23" s="89"/>
      <c r="X23" s="90"/>
      <c r="Y23" s="60"/>
      <c r="Z23" s="60"/>
      <c r="AA23" s="60"/>
      <c r="AB23" s="60"/>
      <c r="AC23" s="60"/>
      <c r="AD23" s="68"/>
      <c r="AE23" s="67"/>
      <c r="AF23" s="67"/>
      <c r="AG23" s="60"/>
      <c r="AH23" s="60"/>
      <c r="AI23" s="60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</row>
    <row r="24" spans="1:58" s="10" customFormat="1" ht="18" customHeight="1" x14ac:dyDescent="0.35">
      <c r="A24" s="8"/>
      <c r="B24" s="8"/>
      <c r="C24" s="9"/>
      <c r="D24" s="9"/>
      <c r="E24" s="60"/>
      <c r="F24" s="60"/>
      <c r="G24" s="60"/>
      <c r="H24" s="60"/>
      <c r="I24" s="60"/>
      <c r="J24" s="60"/>
      <c r="K24" s="60"/>
      <c r="L24" s="60"/>
      <c r="M24" s="80"/>
      <c r="N24" s="81"/>
      <c r="O24" s="82"/>
      <c r="P24" s="89"/>
      <c r="Q24" s="90"/>
      <c r="R24" s="60"/>
      <c r="S24" s="60"/>
      <c r="T24" s="80"/>
      <c r="U24" s="81"/>
      <c r="V24" s="82"/>
      <c r="W24" s="89"/>
      <c r="X24" s="90"/>
      <c r="Y24" s="60"/>
      <c r="Z24" s="60"/>
      <c r="AA24" s="60"/>
      <c r="AB24" s="60"/>
      <c r="AC24" s="60"/>
      <c r="AD24" s="68"/>
      <c r="AE24" s="67"/>
      <c r="AF24" s="67"/>
      <c r="AG24" s="60"/>
      <c r="AH24" s="60"/>
      <c r="AI24" s="60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</row>
    <row r="25" spans="1:58" x14ac:dyDescent="0.35">
      <c r="A25" s="1"/>
      <c r="B25" s="1"/>
      <c r="C25" s="4"/>
      <c r="D25" s="4"/>
      <c r="E25" s="69"/>
      <c r="F25" s="69"/>
      <c r="G25" s="69"/>
      <c r="H25" s="69"/>
      <c r="I25" s="69"/>
      <c r="J25" s="69"/>
      <c r="K25" s="69"/>
      <c r="L25" s="69"/>
      <c r="M25" s="80"/>
      <c r="N25" s="81"/>
      <c r="O25" s="82"/>
      <c r="P25" s="89"/>
      <c r="Q25" s="90"/>
      <c r="R25" s="69"/>
      <c r="S25" s="69"/>
      <c r="T25" s="80"/>
      <c r="U25" s="81"/>
      <c r="V25" s="82"/>
      <c r="W25" s="89"/>
      <c r="X25" s="90"/>
      <c r="Y25" s="69"/>
      <c r="Z25" s="69"/>
      <c r="AA25" s="69"/>
      <c r="AB25" s="69"/>
      <c r="AC25" s="69"/>
      <c r="AD25" s="71"/>
      <c r="AE25" s="70"/>
      <c r="AF25" s="70"/>
      <c r="AG25" s="69"/>
      <c r="AH25" s="69"/>
      <c r="AI25" s="69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35">
      <c r="A26" s="1"/>
      <c r="B26" s="1"/>
      <c r="C26" s="4"/>
      <c r="D26" s="4"/>
      <c r="E26" s="69"/>
      <c r="F26" s="69"/>
      <c r="G26" s="69"/>
      <c r="H26" s="69"/>
      <c r="I26" s="69"/>
      <c r="J26" s="69"/>
      <c r="K26" s="69"/>
      <c r="L26" s="69"/>
      <c r="M26" s="80"/>
      <c r="N26" s="81"/>
      <c r="O26" s="82"/>
      <c r="P26" s="89"/>
      <c r="Q26" s="90"/>
      <c r="R26" s="69"/>
      <c r="S26" s="69"/>
      <c r="T26" s="80"/>
      <c r="U26" s="81"/>
      <c r="V26" s="82"/>
      <c r="W26" s="89"/>
      <c r="X26" s="90"/>
      <c r="Y26" s="69"/>
      <c r="Z26" s="69"/>
      <c r="AA26" s="69"/>
      <c r="AB26" s="69"/>
      <c r="AC26" s="69"/>
      <c r="AD26" s="71"/>
      <c r="AE26" s="70"/>
      <c r="AF26" s="70"/>
      <c r="AG26" s="69"/>
      <c r="AH26" s="69"/>
      <c r="AI26" s="69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35">
      <c r="A27" s="1"/>
      <c r="B27" s="1"/>
      <c r="C27" s="4"/>
      <c r="D27" s="4"/>
      <c r="E27" s="69"/>
      <c r="F27" s="69"/>
      <c r="G27" s="69"/>
      <c r="H27" s="69"/>
      <c r="I27" s="69"/>
      <c r="J27" s="69"/>
      <c r="K27" s="69"/>
      <c r="L27" s="69"/>
      <c r="M27" s="80"/>
      <c r="N27" s="81"/>
      <c r="O27" s="82"/>
      <c r="P27" s="89"/>
      <c r="Q27" s="90"/>
      <c r="R27" s="69"/>
      <c r="S27" s="69"/>
      <c r="T27" s="80"/>
      <c r="U27" s="81"/>
      <c r="V27" s="82"/>
      <c r="W27" s="89"/>
      <c r="X27" s="90"/>
      <c r="Y27" s="69"/>
      <c r="Z27" s="69"/>
      <c r="AA27" s="69"/>
      <c r="AB27" s="69"/>
      <c r="AC27" s="69"/>
      <c r="AD27" s="71"/>
      <c r="AE27" s="70"/>
      <c r="AF27" s="70"/>
      <c r="AG27" s="69"/>
      <c r="AH27" s="69"/>
      <c r="AI27" s="69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35">
      <c r="A28" s="1"/>
      <c r="B28" s="1"/>
      <c r="C28" s="4"/>
      <c r="D28" s="4"/>
      <c r="E28" s="69"/>
      <c r="F28" s="69"/>
      <c r="G28" s="69"/>
      <c r="H28" s="69"/>
      <c r="I28" s="69"/>
      <c r="J28" s="69"/>
      <c r="K28" s="69"/>
      <c r="L28" s="69"/>
      <c r="M28" s="80"/>
      <c r="N28" s="81"/>
      <c r="O28" s="82"/>
      <c r="P28" s="89"/>
      <c r="Q28" s="90"/>
      <c r="R28" s="69"/>
      <c r="S28" s="69"/>
      <c r="T28" s="80"/>
      <c r="U28" s="81"/>
      <c r="V28" s="82"/>
      <c r="W28" s="89"/>
      <c r="X28" s="90"/>
      <c r="Y28" s="69"/>
      <c r="Z28" s="69"/>
      <c r="AA28" s="69"/>
      <c r="AB28" s="69"/>
      <c r="AC28" s="69"/>
      <c r="AD28" s="71"/>
      <c r="AE28" s="70"/>
      <c r="AF28" s="70"/>
      <c r="AG28" s="69"/>
      <c r="AH28" s="69"/>
      <c r="AI28" s="69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35">
      <c r="A29" s="1"/>
      <c r="B29" s="1"/>
      <c r="C29" s="4"/>
      <c r="D29" s="4"/>
      <c r="E29" s="69"/>
      <c r="F29" s="69"/>
      <c r="G29" s="69"/>
      <c r="H29" s="69"/>
      <c r="I29" s="69"/>
      <c r="J29" s="69"/>
      <c r="K29" s="69"/>
      <c r="L29" s="69"/>
      <c r="M29" s="80"/>
      <c r="N29" s="81"/>
      <c r="O29" s="82"/>
      <c r="P29" s="89"/>
      <c r="Q29" s="90"/>
      <c r="R29" s="69"/>
      <c r="S29" s="69"/>
      <c r="T29" s="80"/>
      <c r="U29" s="81"/>
      <c r="V29" s="82"/>
      <c r="W29" s="89"/>
      <c r="X29" s="90"/>
      <c r="Y29" s="69"/>
      <c r="Z29" s="69"/>
      <c r="AA29" s="69"/>
      <c r="AB29" s="69"/>
      <c r="AC29" s="69"/>
      <c r="AD29" s="71"/>
      <c r="AE29" s="70"/>
      <c r="AF29" s="70"/>
      <c r="AG29" s="69"/>
      <c r="AH29" s="69"/>
      <c r="AI29" s="69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35">
      <c r="A30" s="1"/>
      <c r="B30" s="1"/>
      <c r="C30" s="4"/>
      <c r="D30" s="4"/>
      <c r="E30" s="69"/>
      <c r="F30" s="69"/>
      <c r="G30" s="69"/>
      <c r="H30" s="69"/>
      <c r="I30" s="69"/>
      <c r="J30" s="69"/>
      <c r="K30" s="69"/>
      <c r="L30" s="69"/>
      <c r="M30" s="80"/>
      <c r="N30" s="81"/>
      <c r="O30" s="82"/>
      <c r="P30" s="89"/>
      <c r="Q30" s="90"/>
      <c r="R30" s="69"/>
      <c r="S30" s="69"/>
      <c r="T30" s="80"/>
      <c r="U30" s="81"/>
      <c r="V30" s="82"/>
      <c r="W30" s="89"/>
      <c r="X30" s="90"/>
      <c r="Y30" s="69"/>
      <c r="Z30" s="69"/>
      <c r="AA30" s="69"/>
      <c r="AB30" s="69"/>
      <c r="AC30" s="69"/>
      <c r="AD30" s="71"/>
      <c r="AE30" s="70"/>
      <c r="AF30" s="70"/>
      <c r="AG30" s="69"/>
      <c r="AH30" s="69"/>
      <c r="AI30" s="69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35">
      <c r="A31" s="1"/>
      <c r="B31" s="1"/>
      <c r="C31" s="4"/>
      <c r="D31" s="4"/>
      <c r="E31" s="69"/>
      <c r="F31" s="69"/>
      <c r="G31" s="69"/>
      <c r="H31" s="69"/>
      <c r="I31" s="69"/>
      <c r="J31" s="69"/>
      <c r="K31" s="69"/>
      <c r="L31" s="69"/>
      <c r="M31" s="80"/>
      <c r="N31" s="81"/>
      <c r="O31" s="82"/>
      <c r="P31" s="89"/>
      <c r="Q31" s="90"/>
      <c r="R31" s="69"/>
      <c r="S31" s="69"/>
      <c r="T31" s="80"/>
      <c r="U31" s="81"/>
      <c r="V31" s="82"/>
      <c r="W31" s="89"/>
      <c r="X31" s="90"/>
      <c r="Y31" s="69"/>
      <c r="Z31" s="69"/>
      <c r="AA31" s="69"/>
      <c r="AB31" s="69"/>
      <c r="AC31" s="69"/>
      <c r="AD31" s="71"/>
      <c r="AE31" s="70"/>
      <c r="AF31" s="70"/>
      <c r="AG31" s="69"/>
      <c r="AH31" s="69"/>
      <c r="AI31" s="69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35">
      <c r="A32" s="1"/>
      <c r="B32" s="1"/>
      <c r="C32" s="4"/>
      <c r="D32" s="4"/>
      <c r="E32" s="69"/>
      <c r="F32" s="69"/>
      <c r="G32" s="69"/>
      <c r="H32" s="69"/>
      <c r="I32" s="69"/>
      <c r="J32" s="69"/>
      <c r="K32" s="69"/>
      <c r="L32" s="69"/>
      <c r="M32" s="80"/>
      <c r="N32" s="81"/>
      <c r="O32" s="82"/>
      <c r="P32" s="89"/>
      <c r="Q32" s="90"/>
      <c r="R32" s="69"/>
      <c r="S32" s="69"/>
      <c r="T32" s="80"/>
      <c r="U32" s="81"/>
      <c r="V32" s="82"/>
      <c r="W32" s="89"/>
      <c r="X32" s="90"/>
      <c r="Y32" s="69"/>
      <c r="Z32" s="69"/>
      <c r="AA32" s="69"/>
      <c r="AB32" s="69"/>
      <c r="AC32" s="69"/>
      <c r="AD32" s="71"/>
      <c r="AE32" s="70"/>
      <c r="AF32" s="70"/>
      <c r="AG32" s="69"/>
      <c r="AH32" s="69"/>
      <c r="AI32" s="69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35">
      <c r="A33" s="1"/>
      <c r="B33" s="1"/>
      <c r="C33" s="4"/>
      <c r="D33" s="4"/>
      <c r="E33" s="69"/>
      <c r="F33" s="69"/>
      <c r="G33" s="69"/>
      <c r="H33" s="69"/>
      <c r="I33" s="69"/>
      <c r="J33" s="69"/>
      <c r="K33" s="69"/>
      <c r="L33" s="69"/>
      <c r="M33" s="80"/>
      <c r="N33" s="81"/>
      <c r="O33" s="82"/>
      <c r="P33" s="89"/>
      <c r="Q33" s="90"/>
      <c r="R33" s="69"/>
      <c r="S33" s="69"/>
      <c r="T33" s="80"/>
      <c r="U33" s="81"/>
      <c r="V33" s="82"/>
      <c r="W33" s="89"/>
      <c r="X33" s="90"/>
      <c r="Y33" s="69"/>
      <c r="Z33" s="69"/>
      <c r="AA33" s="69"/>
      <c r="AB33" s="69"/>
      <c r="AC33" s="69"/>
      <c r="AD33" s="71"/>
      <c r="AE33" s="70"/>
      <c r="AF33" s="70"/>
      <c r="AG33" s="69"/>
      <c r="AH33" s="69"/>
      <c r="AI33" s="69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35">
      <c r="A34" s="1"/>
      <c r="B34" s="1"/>
      <c r="C34" s="4"/>
      <c r="D34" s="4"/>
      <c r="E34" s="69"/>
      <c r="F34" s="69"/>
      <c r="G34" s="69"/>
      <c r="H34" s="69"/>
      <c r="I34" s="69"/>
      <c r="J34" s="69"/>
      <c r="K34" s="69"/>
      <c r="L34" s="69"/>
      <c r="M34" s="80"/>
      <c r="N34" s="81"/>
      <c r="O34" s="82"/>
      <c r="P34" s="89"/>
      <c r="Q34" s="90"/>
      <c r="R34" s="69"/>
      <c r="S34" s="69"/>
      <c r="T34" s="80"/>
      <c r="U34" s="81"/>
      <c r="V34" s="82"/>
      <c r="W34" s="89"/>
      <c r="X34" s="90"/>
      <c r="Y34" s="69"/>
      <c r="Z34" s="69"/>
      <c r="AA34" s="69"/>
      <c r="AB34" s="69"/>
      <c r="AC34" s="69"/>
      <c r="AD34" s="71"/>
      <c r="AE34" s="70"/>
      <c r="AF34" s="70"/>
      <c r="AG34" s="69"/>
      <c r="AH34" s="69"/>
      <c r="AI34" s="69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35">
      <c r="A35" s="1"/>
      <c r="B35" s="1"/>
      <c r="C35" s="4"/>
      <c r="D35" s="4"/>
      <c r="E35" s="69"/>
      <c r="F35" s="69"/>
      <c r="G35" s="69"/>
      <c r="H35" s="69"/>
      <c r="I35" s="69"/>
      <c r="J35" s="69"/>
      <c r="K35" s="69"/>
      <c r="L35" s="69"/>
      <c r="M35" s="80"/>
      <c r="N35" s="81"/>
      <c r="O35" s="82"/>
      <c r="P35" s="89"/>
      <c r="Q35" s="90"/>
      <c r="R35" s="69"/>
      <c r="S35" s="69"/>
      <c r="T35" s="80"/>
      <c r="U35" s="81"/>
      <c r="V35" s="82"/>
      <c r="W35" s="89"/>
      <c r="X35" s="90"/>
      <c r="Y35" s="69"/>
      <c r="Z35" s="69"/>
      <c r="AA35" s="69"/>
      <c r="AB35" s="69"/>
      <c r="AC35" s="69"/>
      <c r="AD35" s="71"/>
      <c r="AE35" s="70"/>
      <c r="AF35" s="70"/>
      <c r="AG35" s="69"/>
      <c r="AH35" s="69"/>
      <c r="AI35" s="69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35">
      <c r="A36" s="1"/>
      <c r="B36" s="1"/>
      <c r="C36" s="4"/>
      <c r="D36" s="4"/>
      <c r="E36" s="69"/>
      <c r="F36" s="69"/>
      <c r="G36" s="69"/>
      <c r="H36" s="69"/>
      <c r="I36" s="69"/>
      <c r="J36" s="69"/>
      <c r="K36" s="69"/>
      <c r="L36" s="69"/>
      <c r="M36" s="80"/>
      <c r="N36" s="81"/>
      <c r="O36" s="82"/>
      <c r="P36" s="89"/>
      <c r="Q36" s="90"/>
      <c r="R36" s="69"/>
      <c r="S36" s="69"/>
      <c r="T36" s="80"/>
      <c r="U36" s="81"/>
      <c r="V36" s="82"/>
      <c r="W36" s="89"/>
      <c r="X36" s="90"/>
      <c r="Y36" s="69"/>
      <c r="Z36" s="69"/>
      <c r="AA36" s="69"/>
      <c r="AB36" s="69"/>
      <c r="AC36" s="69"/>
      <c r="AD36" s="71"/>
      <c r="AE36" s="70"/>
      <c r="AF36" s="70"/>
      <c r="AG36" s="69"/>
      <c r="AH36" s="69"/>
      <c r="AI36" s="69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35">
      <c r="A37" s="1"/>
      <c r="B37" s="1"/>
      <c r="C37" s="4"/>
      <c r="D37" s="4"/>
      <c r="E37" s="69"/>
      <c r="F37" s="69"/>
      <c r="G37" s="69"/>
      <c r="H37" s="69"/>
      <c r="I37" s="69"/>
      <c r="J37" s="69"/>
      <c r="K37" s="69"/>
      <c r="L37" s="69"/>
      <c r="M37" s="80"/>
      <c r="N37" s="81"/>
      <c r="O37" s="81"/>
      <c r="P37" s="91"/>
      <c r="Q37" s="92"/>
      <c r="R37" s="69"/>
      <c r="S37" s="69"/>
      <c r="T37" s="80"/>
      <c r="U37" s="81"/>
      <c r="V37" s="81"/>
      <c r="W37" s="91"/>
      <c r="X37" s="92"/>
      <c r="Y37" s="69"/>
      <c r="Z37" s="69"/>
      <c r="AA37" s="69"/>
      <c r="AB37" s="69"/>
      <c r="AC37" s="69"/>
      <c r="AD37" s="71"/>
      <c r="AE37" s="70"/>
      <c r="AF37" s="70"/>
      <c r="AG37" s="69"/>
      <c r="AH37" s="69"/>
      <c r="AI37" s="69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35">
      <c r="A38" s="1"/>
      <c r="B38" s="1"/>
      <c r="C38" s="4"/>
      <c r="D38" s="4"/>
      <c r="E38" s="69"/>
      <c r="F38" s="69"/>
      <c r="G38" s="69"/>
      <c r="H38" s="69"/>
      <c r="I38" s="69"/>
      <c r="J38" s="69"/>
      <c r="K38" s="69"/>
      <c r="L38" s="69"/>
      <c r="M38" s="80"/>
      <c r="N38" s="81"/>
      <c r="O38" s="81"/>
      <c r="P38" s="91"/>
      <c r="Q38" s="92"/>
      <c r="R38" s="69"/>
      <c r="S38" s="69"/>
      <c r="T38" s="80"/>
      <c r="U38" s="81"/>
      <c r="V38" s="81"/>
      <c r="W38" s="91"/>
      <c r="X38" s="92"/>
      <c r="Y38" s="69"/>
      <c r="Z38" s="69"/>
      <c r="AA38" s="69"/>
      <c r="AB38" s="69"/>
      <c r="AC38" s="69"/>
      <c r="AD38" s="71"/>
      <c r="AE38" s="70"/>
      <c r="AF38" s="70"/>
      <c r="AG38" s="69"/>
      <c r="AH38" s="69"/>
      <c r="AI38" s="69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35">
      <c r="A39" s="1"/>
      <c r="B39" s="1"/>
      <c r="C39" s="4"/>
      <c r="D39" s="4"/>
      <c r="E39" s="69"/>
      <c r="F39" s="69"/>
      <c r="G39" s="69"/>
      <c r="H39" s="69"/>
      <c r="I39" s="69"/>
      <c r="J39" s="69"/>
      <c r="K39" s="69"/>
      <c r="L39" s="69"/>
      <c r="M39" s="80"/>
      <c r="N39" s="81"/>
      <c r="O39" s="81"/>
      <c r="P39" s="91"/>
      <c r="Q39" s="92"/>
      <c r="R39" s="69"/>
      <c r="S39" s="69"/>
      <c r="T39" s="80"/>
      <c r="U39" s="81"/>
      <c r="V39" s="81"/>
      <c r="W39" s="91"/>
      <c r="X39" s="92"/>
      <c r="Y39" s="69"/>
      <c r="Z39" s="69"/>
      <c r="AA39" s="69"/>
      <c r="AB39" s="69"/>
      <c r="AC39" s="69"/>
      <c r="AD39" s="71"/>
      <c r="AE39" s="70"/>
      <c r="AF39" s="70"/>
      <c r="AG39" s="69"/>
      <c r="AH39" s="69"/>
      <c r="AI39" s="69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35">
      <c r="A40" s="1"/>
      <c r="B40" s="1"/>
      <c r="C40" s="4"/>
      <c r="D40" s="4"/>
      <c r="E40" s="69"/>
      <c r="F40" s="69"/>
      <c r="G40" s="69"/>
      <c r="H40" s="69"/>
      <c r="I40" s="69"/>
      <c r="J40" s="69"/>
      <c r="K40" s="69"/>
      <c r="L40" s="69"/>
      <c r="M40" s="80"/>
      <c r="N40" s="81"/>
      <c r="O40" s="81"/>
      <c r="P40" s="91"/>
      <c r="Q40" s="92"/>
      <c r="R40" s="69"/>
      <c r="S40" s="69"/>
      <c r="T40" s="80"/>
      <c r="U40" s="81"/>
      <c r="V40" s="81"/>
      <c r="W40" s="91"/>
      <c r="X40" s="92"/>
      <c r="Y40" s="69"/>
      <c r="Z40" s="69"/>
      <c r="AA40" s="69"/>
      <c r="AB40" s="69"/>
      <c r="AC40" s="69"/>
      <c r="AD40" s="71"/>
      <c r="AE40" s="70"/>
      <c r="AF40" s="70"/>
      <c r="AG40" s="69"/>
      <c r="AH40" s="69"/>
      <c r="AI40" s="69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35">
      <c r="A41" s="1"/>
      <c r="B41" s="1"/>
      <c r="C41" s="4"/>
      <c r="D41" s="4"/>
      <c r="E41" s="69"/>
      <c r="F41" s="69"/>
      <c r="G41" s="69"/>
      <c r="H41" s="69"/>
      <c r="I41" s="69"/>
      <c r="J41" s="69"/>
      <c r="K41" s="69"/>
      <c r="L41" s="69"/>
      <c r="M41" s="80"/>
      <c r="N41" s="81"/>
      <c r="O41" s="81"/>
      <c r="P41" s="91"/>
      <c r="Q41" s="92"/>
      <c r="R41" s="69"/>
      <c r="S41" s="69"/>
      <c r="T41" s="80"/>
      <c r="U41" s="81"/>
      <c r="V41" s="81"/>
      <c r="W41" s="91"/>
      <c r="X41" s="92"/>
      <c r="Y41" s="69"/>
      <c r="Z41" s="69"/>
      <c r="AA41" s="69"/>
      <c r="AB41" s="69"/>
      <c r="AC41" s="69"/>
      <c r="AD41" s="71"/>
      <c r="AE41" s="70"/>
      <c r="AF41" s="70"/>
      <c r="AG41" s="69"/>
      <c r="AH41" s="69"/>
      <c r="AI41" s="69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35">
      <c r="A42" s="1"/>
      <c r="B42" s="1"/>
      <c r="C42" s="4"/>
      <c r="D42" s="4"/>
      <c r="E42" s="69"/>
      <c r="F42" s="69"/>
      <c r="G42" s="69"/>
      <c r="H42" s="69"/>
      <c r="I42" s="69"/>
      <c r="J42" s="69"/>
      <c r="K42" s="69"/>
      <c r="L42" s="69"/>
      <c r="M42" s="80"/>
      <c r="N42" s="81"/>
      <c r="O42" s="81"/>
      <c r="P42" s="91"/>
      <c r="Q42" s="92"/>
      <c r="R42" s="69"/>
      <c r="S42" s="69"/>
      <c r="T42" s="80"/>
      <c r="U42" s="81"/>
      <c r="V42" s="81"/>
      <c r="W42" s="91"/>
      <c r="X42" s="92"/>
      <c r="Y42" s="69"/>
      <c r="Z42" s="69"/>
      <c r="AA42" s="69"/>
      <c r="AB42" s="69"/>
      <c r="AC42" s="69"/>
      <c r="AD42" s="71"/>
      <c r="AE42" s="70"/>
      <c r="AF42" s="70"/>
      <c r="AG42" s="69"/>
      <c r="AH42" s="69"/>
      <c r="AI42" s="69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35">
      <c r="A43" s="1"/>
      <c r="B43" s="1"/>
      <c r="C43" s="4"/>
      <c r="D43" s="4"/>
      <c r="E43" s="69"/>
      <c r="F43" s="69"/>
      <c r="G43" s="69"/>
      <c r="H43" s="69"/>
      <c r="I43" s="69"/>
      <c r="J43" s="69"/>
      <c r="K43" s="69"/>
      <c r="L43" s="69"/>
      <c r="M43" s="80"/>
      <c r="N43" s="81"/>
      <c r="O43" s="81"/>
      <c r="P43" s="91"/>
      <c r="Q43" s="92"/>
      <c r="R43" s="69"/>
      <c r="S43" s="69"/>
      <c r="T43" s="80"/>
      <c r="U43" s="81"/>
      <c r="V43" s="81"/>
      <c r="W43" s="91"/>
      <c r="X43" s="92"/>
      <c r="Y43" s="69"/>
      <c r="Z43" s="69"/>
      <c r="AA43" s="69"/>
      <c r="AB43" s="69"/>
      <c r="AC43" s="69"/>
      <c r="AD43" s="71"/>
      <c r="AE43" s="70"/>
      <c r="AF43" s="70"/>
      <c r="AG43" s="69"/>
      <c r="AH43" s="69"/>
      <c r="AI43" s="69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35">
      <c r="A44" s="1"/>
      <c r="B44" s="1"/>
      <c r="C44" s="4"/>
      <c r="D44" s="4"/>
      <c r="E44" s="4"/>
      <c r="F44" s="4"/>
      <c r="G44" s="4"/>
      <c r="H44" s="4"/>
      <c r="I44" s="4"/>
      <c r="J44" s="4"/>
      <c r="K44" s="4"/>
      <c r="L44" s="4"/>
      <c r="M44" s="80"/>
      <c r="N44" s="81"/>
      <c r="O44" s="81"/>
      <c r="P44" s="91"/>
      <c r="Q44" s="92"/>
      <c r="R44" s="4"/>
      <c r="S44" s="4"/>
      <c r="T44" s="80"/>
      <c r="U44" s="81"/>
      <c r="V44" s="81"/>
      <c r="W44" s="91"/>
      <c r="X44" s="92"/>
      <c r="Y44" s="4"/>
      <c r="Z44" s="4"/>
      <c r="AA44" s="4"/>
      <c r="AB44" s="4"/>
      <c r="AC44" s="4"/>
      <c r="AD44" s="55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35">
      <c r="A45" s="1"/>
      <c r="B45" s="1"/>
      <c r="C45" s="4"/>
      <c r="D45" s="4"/>
      <c r="E45" s="4"/>
      <c r="F45" s="4"/>
      <c r="G45" s="4"/>
      <c r="H45" s="4"/>
      <c r="I45" s="4"/>
      <c r="J45" s="4"/>
      <c r="K45" s="4"/>
      <c r="L45" s="4"/>
      <c r="M45" s="80"/>
      <c r="N45" s="81"/>
      <c r="O45" s="81"/>
      <c r="P45" s="91"/>
      <c r="Q45" s="92"/>
      <c r="R45" s="4"/>
      <c r="S45" s="4"/>
      <c r="T45" s="80"/>
      <c r="U45" s="81"/>
      <c r="V45" s="81"/>
      <c r="W45" s="91"/>
      <c r="X45" s="92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35">
      <c r="A46" s="1"/>
      <c r="B46" s="1"/>
      <c r="C46" s="4"/>
      <c r="D46" s="4"/>
      <c r="E46" s="4"/>
      <c r="F46" s="4"/>
      <c r="G46" s="4"/>
      <c r="H46" s="4"/>
      <c r="I46" s="4"/>
      <c r="J46" s="4"/>
      <c r="K46" s="4"/>
      <c r="L46" s="4"/>
      <c r="M46" s="80"/>
      <c r="N46" s="81"/>
      <c r="O46" s="81"/>
      <c r="P46" s="91"/>
      <c r="Q46" s="92"/>
      <c r="R46" s="4"/>
      <c r="S46" s="4"/>
      <c r="T46" s="80"/>
      <c r="U46" s="81"/>
      <c r="V46" s="81"/>
      <c r="W46" s="91"/>
      <c r="X46" s="92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35">
      <c r="C47" s="4"/>
      <c r="D47" s="4"/>
      <c r="E47" s="4"/>
      <c r="F47" s="4"/>
      <c r="G47" s="4"/>
      <c r="H47" s="4"/>
      <c r="I47" s="4"/>
      <c r="J47" s="4"/>
      <c r="K47" s="4"/>
      <c r="L47" s="4"/>
      <c r="M47" s="80"/>
      <c r="N47" s="81"/>
      <c r="O47" s="81"/>
      <c r="P47" s="91"/>
      <c r="Q47" s="92"/>
      <c r="R47" s="4"/>
      <c r="S47" s="4"/>
      <c r="T47" s="80"/>
      <c r="U47" s="81"/>
      <c r="V47" s="81"/>
      <c r="W47" s="91"/>
      <c r="X47" s="92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35">
      <c r="C48" s="4"/>
      <c r="D48" s="4"/>
      <c r="E48" s="4"/>
      <c r="F48" s="4"/>
      <c r="G48" s="4"/>
      <c r="H48" s="4"/>
      <c r="I48" s="4"/>
      <c r="J48" s="4"/>
      <c r="K48" s="4"/>
      <c r="L48" s="4"/>
      <c r="M48" s="80"/>
      <c r="N48" s="81"/>
      <c r="O48" s="81"/>
      <c r="P48" s="91"/>
      <c r="Q48" s="92"/>
      <c r="R48" s="4"/>
      <c r="S48" s="4"/>
      <c r="T48" s="80"/>
      <c r="U48" s="81"/>
      <c r="V48" s="81"/>
      <c r="W48" s="91"/>
      <c r="X48" s="92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3:58" x14ac:dyDescent="0.35">
      <c r="C49" s="4"/>
      <c r="D49" s="4"/>
      <c r="E49" s="4"/>
      <c r="F49" s="4"/>
      <c r="G49" s="4"/>
      <c r="H49" s="4"/>
      <c r="I49" s="4"/>
      <c r="J49" s="4"/>
      <c r="K49" s="4"/>
      <c r="L49" s="4"/>
      <c r="M49" s="80"/>
      <c r="N49" s="81"/>
      <c r="O49" s="81"/>
      <c r="P49" s="91"/>
      <c r="Q49" s="92"/>
      <c r="R49" s="4"/>
      <c r="S49" s="4"/>
      <c r="T49" s="80"/>
      <c r="U49" s="81"/>
      <c r="V49" s="81"/>
      <c r="W49" s="91"/>
      <c r="X49" s="92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3:58" x14ac:dyDescent="0.35">
      <c r="C50" s="4"/>
      <c r="D50" s="4"/>
      <c r="E50" s="4"/>
      <c r="F50" s="4"/>
      <c r="G50" s="4"/>
      <c r="H50" s="4"/>
      <c r="I50" s="4"/>
      <c r="J50" s="4"/>
      <c r="K50" s="4"/>
      <c r="L50" s="4"/>
      <c r="M50" s="80"/>
      <c r="N50" s="81"/>
      <c r="O50" s="81"/>
      <c r="P50" s="91"/>
      <c r="Q50" s="92"/>
      <c r="R50" s="4"/>
      <c r="S50" s="4"/>
      <c r="T50" s="80"/>
      <c r="U50" s="81"/>
      <c r="V50" s="81"/>
      <c r="W50" s="91"/>
      <c r="X50" s="92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3:58" x14ac:dyDescent="0.35">
      <c r="C51" s="4"/>
      <c r="D51" s="4"/>
      <c r="E51" s="4"/>
      <c r="F51" s="4"/>
      <c r="G51" s="4"/>
      <c r="H51" s="4"/>
      <c r="I51" s="4"/>
      <c r="J51" s="4"/>
      <c r="K51" s="4"/>
      <c r="L51" s="4"/>
      <c r="M51" s="83"/>
      <c r="N51" s="84"/>
      <c r="O51" s="84"/>
      <c r="P51" s="93"/>
      <c r="Q51" s="94"/>
      <c r="R51" s="4"/>
      <c r="S51" s="4"/>
      <c r="T51" s="83"/>
      <c r="U51" s="84"/>
      <c r="V51" s="84"/>
      <c r="W51" s="93"/>
      <c r="X51" s="9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3:58" x14ac:dyDescent="0.35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3:58" x14ac:dyDescent="0.35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3:58" x14ac:dyDescent="0.35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3:58" x14ac:dyDescent="0.35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3:58" x14ac:dyDescent="0.35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3:58" x14ac:dyDescent="0.35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3:58" x14ac:dyDescent="0.35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3:58" x14ac:dyDescent="0.35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</row>
    <row r="60" spans="3:58" x14ac:dyDescent="0.35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</row>
    <row r="61" spans="3:58" x14ac:dyDescent="0.35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3:58" x14ac:dyDescent="0.35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3:58" x14ac:dyDescent="0.35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3:58" x14ac:dyDescent="0.35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3:58" x14ac:dyDescent="0.35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</row>
    <row r="66" spans="3:58" x14ac:dyDescent="0.35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</row>
    <row r="67" spans="3:58" x14ac:dyDescent="0.35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3:58" x14ac:dyDescent="0.35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</row>
    <row r="69" spans="3:58" x14ac:dyDescent="0.35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</row>
    <row r="70" spans="3:58" x14ac:dyDescent="0.35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</row>
    <row r="71" spans="3:58" x14ac:dyDescent="0.35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</row>
    <row r="72" spans="3:58" x14ac:dyDescent="0.35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</row>
    <row r="73" spans="3:58" x14ac:dyDescent="0.35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</row>
    <row r="74" spans="3:58" x14ac:dyDescent="0.35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</row>
    <row r="75" spans="3:58" x14ac:dyDescent="0.35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</row>
    <row r="76" spans="3:58" x14ac:dyDescent="0.35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</row>
    <row r="77" spans="3:58" x14ac:dyDescent="0.35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</row>
    <row r="78" spans="3:58" x14ac:dyDescent="0.35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</row>
    <row r="79" spans="3:58" x14ac:dyDescent="0.35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</row>
    <row r="80" spans="3:58" x14ac:dyDescent="0.35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</row>
    <row r="81" spans="3:58" x14ac:dyDescent="0.35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</row>
    <row r="82" spans="3:58" x14ac:dyDescent="0.35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</row>
    <row r="83" spans="3:58" x14ac:dyDescent="0.35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</row>
    <row r="84" spans="3:58" x14ac:dyDescent="0.35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</row>
    <row r="85" spans="3:58" x14ac:dyDescent="0.35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3:58" x14ac:dyDescent="0.35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</row>
    <row r="87" spans="3:58" x14ac:dyDescent="0.35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</row>
    <row r="88" spans="3:58" x14ac:dyDescent="0.35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</row>
    <row r="89" spans="3:58" x14ac:dyDescent="0.35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</row>
    <row r="90" spans="3:58" x14ac:dyDescent="0.35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</row>
    <row r="91" spans="3:58" x14ac:dyDescent="0.35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</row>
    <row r="92" spans="3:58" x14ac:dyDescent="0.35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</row>
    <row r="93" spans="3:58" x14ac:dyDescent="0.35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</row>
    <row r="94" spans="3:58" x14ac:dyDescent="0.35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</row>
    <row r="95" spans="3:58" x14ac:dyDescent="0.35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3:58" x14ac:dyDescent="0.35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3:58" x14ac:dyDescent="0.35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3:58" x14ac:dyDescent="0.35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</row>
    <row r="99" spans="3:58" x14ac:dyDescent="0.35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3:58" x14ac:dyDescent="0.35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3:58" x14ac:dyDescent="0.35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</row>
    <row r="102" spans="3:58" x14ac:dyDescent="0.35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</row>
    <row r="103" spans="3:58" x14ac:dyDescent="0.35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</row>
    <row r="104" spans="3:58" x14ac:dyDescent="0.35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3:58" x14ac:dyDescent="0.35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3:58" x14ac:dyDescent="0.35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3:58" x14ac:dyDescent="0.35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3:58" x14ac:dyDescent="0.35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3:58" x14ac:dyDescent="0.35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3:58" x14ac:dyDescent="0.35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3:58" x14ac:dyDescent="0.35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3:58" x14ac:dyDescent="0.35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3:58" x14ac:dyDescent="0.35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3:58" x14ac:dyDescent="0.35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3:58" x14ac:dyDescent="0.35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3:58" x14ac:dyDescent="0.35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3:58" x14ac:dyDescent="0.35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3:58" x14ac:dyDescent="0.35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3:58" x14ac:dyDescent="0.35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3:58" x14ac:dyDescent="0.35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3:58" x14ac:dyDescent="0.35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3:58" x14ac:dyDescent="0.35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3:58" x14ac:dyDescent="0.35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</sheetData>
  <mergeCells count="5">
    <mergeCell ref="T1:X1"/>
    <mergeCell ref="AA1:AF1"/>
    <mergeCell ref="G7:I7"/>
    <mergeCell ref="E1:J1"/>
    <mergeCell ref="M1:Q1"/>
  </mergeCells>
  <conditionalFormatting sqref="M8:Q51">
    <cfRule type="expression" dxfId="10" priority="7">
      <formula>MOD(ROW(),2)=0</formula>
    </cfRule>
  </conditionalFormatting>
  <conditionalFormatting sqref="T8:X51">
    <cfRule type="expression" dxfId="9" priority="6">
      <formula>MOD(ROW(),2)=0</formula>
    </cfRule>
  </conditionalFormatting>
  <conditionalFormatting sqref="AA4:AA6">
    <cfRule type="expression" dxfId="8" priority="5">
      <formula>$B$5=ROW()</formula>
    </cfRule>
  </conditionalFormatting>
  <conditionalFormatting sqref="AC4:AJ4">
    <cfRule type="notContainsBlanks" dxfId="7" priority="4">
      <formula>LEN(TRIM(AC4))&gt;0</formula>
    </cfRule>
  </conditionalFormatting>
  <conditionalFormatting sqref="AB5:AK28">
    <cfRule type="expression" dxfId="6" priority="3">
      <formula>AND(AB5&lt;&gt;"",MOD(ROW(),2)=0)</formula>
    </cfRule>
    <cfRule type="expression" dxfId="5" priority="2">
      <formula>AND(AB5&lt;&gt;"",MOD(ROW(),2)=1)</formula>
    </cfRule>
  </conditionalFormatting>
  <conditionalFormatting sqref="AC5:AD22">
    <cfRule type="expression" dxfId="4" priority="1">
      <formula>OR($AC5="Total Income",$AC5="Total Expenses",$AC5="Total Profit")</formula>
    </cfRule>
  </conditionalFormatting>
  <dataValidations count="5">
    <dataValidation type="list" allowBlank="1" showInputMessage="1" showErrorMessage="1" sqref="G5" xr:uid="{00000000-0002-0000-0000-000000000000}">
      <formula1>Accounts</formula1>
    </dataValidation>
    <dataValidation type="list" allowBlank="1" showInputMessage="1" showErrorMessage="1" sqref="I5" xr:uid="{00000000-0002-0000-0000-000001000000}">
      <formula1>Category</formula1>
    </dataValidation>
    <dataValidation type="list" allowBlank="1" showInputMessage="1" showErrorMessage="1" sqref="M8:M51 T8:T51" xr:uid="{00000000-0002-0000-0000-000002000000}">
      <formula1>Items</formula1>
    </dataValidation>
    <dataValidation type="list" allowBlank="1" showInputMessage="1" showErrorMessage="1" sqref="N3" xr:uid="{00000000-0002-0000-0000-000003000000}">
      <formula1>Customers</formula1>
    </dataValidation>
    <dataValidation type="list" allowBlank="1" showInputMessage="1" showErrorMessage="1" sqref="U3" xr:uid="{00000000-0002-0000-0000-000004000000}">
      <formula1>Vendors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362"/>
  <sheetViews>
    <sheetView workbookViewId="0">
      <selection activeCell="E7" sqref="E7"/>
    </sheetView>
  </sheetViews>
  <sheetFormatPr defaultRowHeight="14.5" x14ac:dyDescent="0.35"/>
  <cols>
    <col min="1" max="1" width="5.7265625" bestFit="1" customWidth="1"/>
    <col min="2" max="2" width="16" bestFit="1" customWidth="1"/>
    <col min="3" max="3" width="9.54296875" bestFit="1" customWidth="1"/>
    <col min="4" max="4" width="9.54296875" customWidth="1"/>
    <col min="10" max="10" width="17.54296875" bestFit="1" customWidth="1"/>
    <col min="11" max="11" width="11.81640625" customWidth="1"/>
  </cols>
  <sheetData>
    <row r="1" spans="1:11" x14ac:dyDescent="0.35">
      <c r="A1" s="112" t="s">
        <v>185</v>
      </c>
      <c r="B1" s="112"/>
      <c r="C1" s="112"/>
      <c r="D1" s="112"/>
      <c r="H1" s="113" t="s">
        <v>252</v>
      </c>
      <c r="I1" s="113"/>
      <c r="J1" s="113"/>
      <c r="K1" s="113"/>
    </row>
    <row r="2" spans="1:11" x14ac:dyDescent="0.35">
      <c r="A2" s="45" t="s">
        <v>186</v>
      </c>
      <c r="B2" s="45" t="s">
        <v>6</v>
      </c>
      <c r="C2" s="45" t="s">
        <v>11</v>
      </c>
      <c r="D2" s="45" t="s">
        <v>10</v>
      </c>
      <c r="H2" s="45" t="s">
        <v>11</v>
      </c>
      <c r="I2" s="45" t="s">
        <v>11</v>
      </c>
      <c r="J2" s="45" t="s">
        <v>6</v>
      </c>
      <c r="K2" s="45" t="s">
        <v>230</v>
      </c>
    </row>
    <row r="3" spans="1:11" x14ac:dyDescent="0.35">
      <c r="A3" s="2">
        <v>1</v>
      </c>
      <c r="B3" t="s">
        <v>59</v>
      </c>
      <c r="C3" s="43">
        <v>43832</v>
      </c>
      <c r="D3" s="44">
        <v>49</v>
      </c>
      <c r="H3" t="str">
        <f>"&gt;="&amp;StartDate</f>
        <v>&gt;=43831</v>
      </c>
      <c r="I3" t="str">
        <f>"&lt;="&amp;EndDate</f>
        <v>&lt;=43860</v>
      </c>
      <c r="J3" t="s">
        <v>59</v>
      </c>
      <c r="K3">
        <f t="shared" ref="K3:K66" si="0">IF(J3="","",SUMIFS($D$3:$D$9999,$B$3:$B$9999,J3,$C$3:$C$9999,"&gt;="&amp;StartDate,$C$3:$C$9999,"&lt;="&amp;EndDate))</f>
        <v>49</v>
      </c>
    </row>
    <row r="4" spans="1:11" x14ac:dyDescent="0.35">
      <c r="A4" s="2">
        <v>2</v>
      </c>
      <c r="B4" t="s">
        <v>149</v>
      </c>
      <c r="C4" s="43">
        <v>43835</v>
      </c>
      <c r="D4" s="44">
        <v>75</v>
      </c>
      <c r="J4" t="s">
        <v>149</v>
      </c>
      <c r="K4">
        <f t="shared" si="0"/>
        <v>141</v>
      </c>
    </row>
    <row r="5" spans="1:11" x14ac:dyDescent="0.35">
      <c r="A5" s="2">
        <v>3</v>
      </c>
      <c r="B5" t="s">
        <v>31</v>
      </c>
      <c r="C5" s="43">
        <v>43862</v>
      </c>
      <c r="D5" s="44">
        <v>30</v>
      </c>
      <c r="J5" t="s">
        <v>95</v>
      </c>
      <c r="K5">
        <f t="shared" si="0"/>
        <v>130</v>
      </c>
    </row>
    <row r="6" spans="1:11" x14ac:dyDescent="0.35">
      <c r="A6" s="2">
        <v>4</v>
      </c>
      <c r="B6" t="s">
        <v>41</v>
      </c>
      <c r="C6" s="43">
        <v>43862</v>
      </c>
      <c r="D6" s="44">
        <v>30</v>
      </c>
      <c r="K6" t="str">
        <f t="shared" si="0"/>
        <v/>
      </c>
    </row>
    <row r="7" spans="1:11" x14ac:dyDescent="0.35">
      <c r="A7" s="2">
        <v>5</v>
      </c>
      <c r="B7" t="s">
        <v>41</v>
      </c>
      <c r="C7" s="43">
        <v>43961</v>
      </c>
      <c r="D7" s="44">
        <v>35</v>
      </c>
      <c r="K7" t="str">
        <f t="shared" si="0"/>
        <v/>
      </c>
    </row>
    <row r="8" spans="1:11" x14ac:dyDescent="0.35">
      <c r="A8" s="2">
        <v>6</v>
      </c>
      <c r="B8" t="s">
        <v>95</v>
      </c>
      <c r="C8" s="43">
        <v>43845</v>
      </c>
      <c r="D8" s="44">
        <v>130</v>
      </c>
      <c r="K8" t="str">
        <f t="shared" si="0"/>
        <v/>
      </c>
    </row>
    <row r="9" spans="1:11" x14ac:dyDescent="0.35">
      <c r="A9" s="2">
        <v>7</v>
      </c>
      <c r="B9" t="s">
        <v>149</v>
      </c>
      <c r="C9" s="43">
        <v>43842</v>
      </c>
      <c r="D9" s="44">
        <v>66</v>
      </c>
      <c r="K9" t="str">
        <f t="shared" si="0"/>
        <v/>
      </c>
    </row>
    <row r="10" spans="1:11" x14ac:dyDescent="0.35">
      <c r="A10" s="2"/>
      <c r="K10" t="str">
        <f t="shared" si="0"/>
        <v/>
      </c>
    </row>
    <row r="11" spans="1:11" x14ac:dyDescent="0.35">
      <c r="A11" s="2"/>
      <c r="K11" t="str">
        <f t="shared" si="0"/>
        <v/>
      </c>
    </row>
    <row r="12" spans="1:11" x14ac:dyDescent="0.35">
      <c r="A12" s="2"/>
      <c r="K12" t="str">
        <f t="shared" si="0"/>
        <v/>
      </c>
    </row>
    <row r="13" spans="1:11" x14ac:dyDescent="0.35">
      <c r="A13" s="2"/>
      <c r="K13" t="str">
        <f t="shared" si="0"/>
        <v/>
      </c>
    </row>
    <row r="14" spans="1:11" x14ac:dyDescent="0.35">
      <c r="A14" s="2"/>
      <c r="K14" t="str">
        <f t="shared" si="0"/>
        <v/>
      </c>
    </row>
    <row r="15" spans="1:11" x14ac:dyDescent="0.35">
      <c r="A15" s="2"/>
      <c r="K15" t="str">
        <f t="shared" si="0"/>
        <v/>
      </c>
    </row>
    <row r="16" spans="1:11" x14ac:dyDescent="0.35">
      <c r="A16" s="2"/>
      <c r="K16" t="str">
        <f t="shared" si="0"/>
        <v/>
      </c>
    </row>
    <row r="17" spans="1:11" x14ac:dyDescent="0.35">
      <c r="A17" s="2"/>
      <c r="K17" t="str">
        <f t="shared" si="0"/>
        <v/>
      </c>
    </row>
    <row r="18" spans="1:11" x14ac:dyDescent="0.35">
      <c r="A18" s="2"/>
      <c r="K18" t="str">
        <f t="shared" si="0"/>
        <v/>
      </c>
    </row>
    <row r="19" spans="1:11" x14ac:dyDescent="0.35">
      <c r="A19" s="2"/>
      <c r="K19" t="str">
        <f t="shared" si="0"/>
        <v/>
      </c>
    </row>
    <row r="20" spans="1:11" x14ac:dyDescent="0.35">
      <c r="A20" s="2"/>
      <c r="K20" t="str">
        <f t="shared" si="0"/>
        <v/>
      </c>
    </row>
    <row r="21" spans="1:11" x14ac:dyDescent="0.35">
      <c r="A21" s="2"/>
      <c r="K21" t="str">
        <f t="shared" si="0"/>
        <v/>
      </c>
    </row>
    <row r="22" spans="1:11" x14ac:dyDescent="0.35">
      <c r="A22" s="2"/>
      <c r="K22" t="str">
        <f t="shared" si="0"/>
        <v/>
      </c>
    </row>
    <row r="23" spans="1:11" x14ac:dyDescent="0.35">
      <c r="A23" s="2"/>
      <c r="K23" t="str">
        <f t="shared" si="0"/>
        <v/>
      </c>
    </row>
    <row r="24" spans="1:11" x14ac:dyDescent="0.35">
      <c r="A24" s="2"/>
      <c r="K24" t="str">
        <f t="shared" si="0"/>
        <v/>
      </c>
    </row>
    <row r="25" spans="1:11" x14ac:dyDescent="0.35">
      <c r="A25" s="2"/>
      <c r="K25" t="str">
        <f t="shared" si="0"/>
        <v/>
      </c>
    </row>
    <row r="26" spans="1:11" x14ac:dyDescent="0.35">
      <c r="A26" s="2"/>
      <c r="K26" t="str">
        <f t="shared" si="0"/>
        <v/>
      </c>
    </row>
    <row r="27" spans="1:11" x14ac:dyDescent="0.35">
      <c r="A27" s="2"/>
      <c r="K27" t="str">
        <f t="shared" si="0"/>
        <v/>
      </c>
    </row>
    <row r="28" spans="1:11" x14ac:dyDescent="0.35">
      <c r="A28" s="2"/>
      <c r="K28" t="str">
        <f t="shared" si="0"/>
        <v/>
      </c>
    </row>
    <row r="29" spans="1:11" x14ac:dyDescent="0.35">
      <c r="A29" s="2"/>
      <c r="K29" t="str">
        <f t="shared" si="0"/>
        <v/>
      </c>
    </row>
    <row r="30" spans="1:11" x14ac:dyDescent="0.35">
      <c r="K30" t="str">
        <f t="shared" si="0"/>
        <v/>
      </c>
    </row>
    <row r="31" spans="1:11" x14ac:dyDescent="0.35">
      <c r="K31" t="str">
        <f t="shared" si="0"/>
        <v/>
      </c>
    </row>
    <row r="32" spans="1:11" x14ac:dyDescent="0.35">
      <c r="K32" t="str">
        <f t="shared" si="0"/>
        <v/>
      </c>
    </row>
    <row r="33" spans="11:11" x14ac:dyDescent="0.35">
      <c r="K33" t="str">
        <f t="shared" si="0"/>
        <v/>
      </c>
    </row>
    <row r="34" spans="11:11" x14ac:dyDescent="0.35">
      <c r="K34" t="str">
        <f t="shared" si="0"/>
        <v/>
      </c>
    </row>
    <row r="35" spans="11:11" x14ac:dyDescent="0.35">
      <c r="K35" t="str">
        <f t="shared" si="0"/>
        <v/>
      </c>
    </row>
    <row r="36" spans="11:11" x14ac:dyDescent="0.35">
      <c r="K36" t="str">
        <f t="shared" si="0"/>
        <v/>
      </c>
    </row>
    <row r="37" spans="11:11" x14ac:dyDescent="0.35">
      <c r="K37" t="str">
        <f t="shared" si="0"/>
        <v/>
      </c>
    </row>
    <row r="38" spans="11:11" x14ac:dyDescent="0.35">
      <c r="K38" t="str">
        <f t="shared" si="0"/>
        <v/>
      </c>
    </row>
    <row r="39" spans="11:11" x14ac:dyDescent="0.35">
      <c r="K39" t="str">
        <f t="shared" si="0"/>
        <v/>
      </c>
    </row>
    <row r="40" spans="11:11" x14ac:dyDescent="0.35">
      <c r="K40" t="str">
        <f t="shared" si="0"/>
        <v/>
      </c>
    </row>
    <row r="41" spans="11:11" x14ac:dyDescent="0.35">
      <c r="K41" t="str">
        <f t="shared" si="0"/>
        <v/>
      </c>
    </row>
    <row r="42" spans="11:11" x14ac:dyDescent="0.35">
      <c r="K42" t="str">
        <f t="shared" si="0"/>
        <v/>
      </c>
    </row>
    <row r="43" spans="11:11" x14ac:dyDescent="0.35">
      <c r="K43" t="str">
        <f t="shared" si="0"/>
        <v/>
      </c>
    </row>
    <row r="44" spans="11:11" x14ac:dyDescent="0.35">
      <c r="K44" t="str">
        <f t="shared" si="0"/>
        <v/>
      </c>
    </row>
    <row r="45" spans="11:11" x14ac:dyDescent="0.35">
      <c r="K45" t="str">
        <f t="shared" si="0"/>
        <v/>
      </c>
    </row>
    <row r="46" spans="11:11" x14ac:dyDescent="0.35">
      <c r="K46" t="str">
        <f t="shared" si="0"/>
        <v/>
      </c>
    </row>
    <row r="47" spans="11:11" x14ac:dyDescent="0.35">
      <c r="K47" t="str">
        <f t="shared" si="0"/>
        <v/>
      </c>
    </row>
    <row r="48" spans="11:11" x14ac:dyDescent="0.35">
      <c r="K48" t="str">
        <f t="shared" si="0"/>
        <v/>
      </c>
    </row>
    <row r="49" spans="11:11" x14ac:dyDescent="0.35">
      <c r="K49" t="str">
        <f t="shared" si="0"/>
        <v/>
      </c>
    </row>
    <row r="50" spans="11:11" x14ac:dyDescent="0.35">
      <c r="K50" t="str">
        <f t="shared" si="0"/>
        <v/>
      </c>
    </row>
    <row r="51" spans="11:11" x14ac:dyDescent="0.35">
      <c r="K51" t="str">
        <f t="shared" si="0"/>
        <v/>
      </c>
    </row>
    <row r="52" spans="11:11" x14ac:dyDescent="0.35">
      <c r="K52" t="str">
        <f t="shared" si="0"/>
        <v/>
      </c>
    </row>
    <row r="53" spans="11:11" x14ac:dyDescent="0.35">
      <c r="K53" t="str">
        <f t="shared" si="0"/>
        <v/>
      </c>
    </row>
    <row r="54" spans="11:11" x14ac:dyDescent="0.35">
      <c r="K54" t="str">
        <f t="shared" si="0"/>
        <v/>
      </c>
    </row>
    <row r="55" spans="11:11" x14ac:dyDescent="0.35">
      <c r="K55" t="str">
        <f t="shared" si="0"/>
        <v/>
      </c>
    </row>
    <row r="56" spans="11:11" x14ac:dyDescent="0.35">
      <c r="K56" t="str">
        <f t="shared" si="0"/>
        <v/>
      </c>
    </row>
    <row r="57" spans="11:11" x14ac:dyDescent="0.35">
      <c r="K57" t="str">
        <f t="shared" si="0"/>
        <v/>
      </c>
    </row>
    <row r="58" spans="11:11" x14ac:dyDescent="0.35">
      <c r="K58" t="str">
        <f t="shared" si="0"/>
        <v/>
      </c>
    </row>
    <row r="59" spans="11:11" x14ac:dyDescent="0.35">
      <c r="K59" t="str">
        <f t="shared" si="0"/>
        <v/>
      </c>
    </row>
    <row r="60" spans="11:11" x14ac:dyDescent="0.35">
      <c r="K60" t="str">
        <f t="shared" si="0"/>
        <v/>
      </c>
    </row>
    <row r="61" spans="11:11" x14ac:dyDescent="0.35">
      <c r="K61" t="str">
        <f t="shared" si="0"/>
        <v/>
      </c>
    </row>
    <row r="62" spans="11:11" x14ac:dyDescent="0.35">
      <c r="K62" t="str">
        <f t="shared" si="0"/>
        <v/>
      </c>
    </row>
    <row r="63" spans="11:11" x14ac:dyDescent="0.35">
      <c r="K63" t="str">
        <f t="shared" si="0"/>
        <v/>
      </c>
    </row>
    <row r="64" spans="11:11" x14ac:dyDescent="0.35">
      <c r="K64" t="str">
        <f t="shared" si="0"/>
        <v/>
      </c>
    </row>
    <row r="65" spans="11:11" x14ac:dyDescent="0.35">
      <c r="K65" t="str">
        <f t="shared" si="0"/>
        <v/>
      </c>
    </row>
    <row r="66" spans="11:11" x14ac:dyDescent="0.35">
      <c r="K66" t="str">
        <f t="shared" si="0"/>
        <v/>
      </c>
    </row>
    <row r="67" spans="11:11" x14ac:dyDescent="0.35">
      <c r="K67" t="str">
        <f t="shared" ref="K67:K130" si="1">IF(J67="","",SUMIFS($D$3:$D$9999,$B$3:$B$9999,J67,$C$3:$C$9999,"&gt;="&amp;StartDate,$C$3:$C$9999,"&lt;="&amp;EndDate))</f>
        <v/>
      </c>
    </row>
    <row r="68" spans="11:11" x14ac:dyDescent="0.35">
      <c r="K68" t="str">
        <f t="shared" si="1"/>
        <v/>
      </c>
    </row>
    <row r="69" spans="11:11" x14ac:dyDescent="0.35">
      <c r="K69" t="str">
        <f t="shared" si="1"/>
        <v/>
      </c>
    </row>
    <row r="70" spans="11:11" x14ac:dyDescent="0.35">
      <c r="K70" t="str">
        <f t="shared" si="1"/>
        <v/>
      </c>
    </row>
    <row r="71" spans="11:11" x14ac:dyDescent="0.35">
      <c r="K71" t="str">
        <f t="shared" si="1"/>
        <v/>
      </c>
    </row>
    <row r="72" spans="11:11" x14ac:dyDescent="0.35">
      <c r="K72" t="str">
        <f t="shared" si="1"/>
        <v/>
      </c>
    </row>
    <row r="73" spans="11:11" x14ac:dyDescent="0.35">
      <c r="K73" t="str">
        <f t="shared" si="1"/>
        <v/>
      </c>
    </row>
    <row r="74" spans="11:11" x14ac:dyDescent="0.35">
      <c r="K74" t="str">
        <f t="shared" si="1"/>
        <v/>
      </c>
    </row>
    <row r="75" spans="11:11" x14ac:dyDescent="0.35">
      <c r="K75" t="str">
        <f t="shared" si="1"/>
        <v/>
      </c>
    </row>
    <row r="76" spans="11:11" x14ac:dyDescent="0.35">
      <c r="K76" t="str">
        <f t="shared" si="1"/>
        <v/>
      </c>
    </row>
    <row r="77" spans="11:11" x14ac:dyDescent="0.35">
      <c r="K77" t="str">
        <f t="shared" si="1"/>
        <v/>
      </c>
    </row>
    <row r="78" spans="11:11" x14ac:dyDescent="0.35">
      <c r="K78" t="str">
        <f t="shared" si="1"/>
        <v/>
      </c>
    </row>
    <row r="79" spans="11:11" x14ac:dyDescent="0.35">
      <c r="K79" t="str">
        <f t="shared" si="1"/>
        <v/>
      </c>
    </row>
    <row r="80" spans="11:11" x14ac:dyDescent="0.35">
      <c r="K80" t="str">
        <f t="shared" si="1"/>
        <v/>
      </c>
    </row>
    <row r="81" spans="11:11" x14ac:dyDescent="0.35">
      <c r="K81" t="str">
        <f t="shared" si="1"/>
        <v/>
      </c>
    </row>
    <row r="82" spans="11:11" x14ac:dyDescent="0.35">
      <c r="K82" t="str">
        <f t="shared" si="1"/>
        <v/>
      </c>
    </row>
    <row r="83" spans="11:11" x14ac:dyDescent="0.35">
      <c r="K83" t="str">
        <f t="shared" si="1"/>
        <v/>
      </c>
    </row>
    <row r="84" spans="11:11" x14ac:dyDescent="0.35">
      <c r="K84" t="str">
        <f t="shared" si="1"/>
        <v/>
      </c>
    </row>
    <row r="85" spans="11:11" x14ac:dyDescent="0.35">
      <c r="K85" t="str">
        <f t="shared" si="1"/>
        <v/>
      </c>
    </row>
    <row r="86" spans="11:11" x14ac:dyDescent="0.35">
      <c r="K86" t="str">
        <f t="shared" si="1"/>
        <v/>
      </c>
    </row>
    <row r="87" spans="11:11" x14ac:dyDescent="0.35">
      <c r="K87" t="str">
        <f t="shared" si="1"/>
        <v/>
      </c>
    </row>
    <row r="88" spans="11:11" x14ac:dyDescent="0.35">
      <c r="K88" t="str">
        <f t="shared" si="1"/>
        <v/>
      </c>
    </row>
    <row r="89" spans="11:11" x14ac:dyDescent="0.35">
      <c r="K89" t="str">
        <f t="shared" si="1"/>
        <v/>
      </c>
    </row>
    <row r="90" spans="11:11" x14ac:dyDescent="0.35">
      <c r="K90" t="str">
        <f t="shared" si="1"/>
        <v/>
      </c>
    </row>
    <row r="91" spans="11:11" x14ac:dyDescent="0.35">
      <c r="K91" t="str">
        <f t="shared" si="1"/>
        <v/>
      </c>
    </row>
    <row r="92" spans="11:11" x14ac:dyDescent="0.35">
      <c r="K92" t="str">
        <f t="shared" si="1"/>
        <v/>
      </c>
    </row>
    <row r="93" spans="11:11" x14ac:dyDescent="0.35">
      <c r="K93" t="str">
        <f t="shared" si="1"/>
        <v/>
      </c>
    </row>
    <row r="94" spans="11:11" x14ac:dyDescent="0.35">
      <c r="K94" t="str">
        <f t="shared" si="1"/>
        <v/>
      </c>
    </row>
    <row r="95" spans="11:11" x14ac:dyDescent="0.35">
      <c r="K95" t="str">
        <f t="shared" si="1"/>
        <v/>
      </c>
    </row>
    <row r="96" spans="11:11" x14ac:dyDescent="0.35">
      <c r="K96" t="str">
        <f t="shared" si="1"/>
        <v/>
      </c>
    </row>
    <row r="97" spans="11:11" x14ac:dyDescent="0.35">
      <c r="K97" t="str">
        <f t="shared" si="1"/>
        <v/>
      </c>
    </row>
    <row r="98" spans="11:11" x14ac:dyDescent="0.35">
      <c r="K98" t="str">
        <f t="shared" si="1"/>
        <v/>
      </c>
    </row>
    <row r="99" spans="11:11" x14ac:dyDescent="0.35">
      <c r="K99" t="str">
        <f t="shared" si="1"/>
        <v/>
      </c>
    </row>
    <row r="100" spans="11:11" x14ac:dyDescent="0.35">
      <c r="K100" t="str">
        <f t="shared" si="1"/>
        <v/>
      </c>
    </row>
    <row r="101" spans="11:11" x14ac:dyDescent="0.35">
      <c r="K101" t="str">
        <f t="shared" si="1"/>
        <v/>
      </c>
    </row>
    <row r="102" spans="11:11" x14ac:dyDescent="0.35">
      <c r="K102" t="str">
        <f t="shared" si="1"/>
        <v/>
      </c>
    </row>
    <row r="103" spans="11:11" x14ac:dyDescent="0.35">
      <c r="K103" t="str">
        <f t="shared" si="1"/>
        <v/>
      </c>
    </row>
    <row r="104" spans="11:11" x14ac:dyDescent="0.35">
      <c r="K104" t="str">
        <f t="shared" si="1"/>
        <v/>
      </c>
    </row>
    <row r="105" spans="11:11" x14ac:dyDescent="0.35">
      <c r="K105" t="str">
        <f t="shared" si="1"/>
        <v/>
      </c>
    </row>
    <row r="106" spans="11:11" x14ac:dyDescent="0.35">
      <c r="K106" t="str">
        <f t="shared" si="1"/>
        <v/>
      </c>
    </row>
    <row r="107" spans="11:11" x14ac:dyDescent="0.35">
      <c r="K107" t="str">
        <f t="shared" si="1"/>
        <v/>
      </c>
    </row>
    <row r="108" spans="11:11" x14ac:dyDescent="0.35">
      <c r="K108" t="str">
        <f t="shared" si="1"/>
        <v/>
      </c>
    </row>
    <row r="109" spans="11:11" x14ac:dyDescent="0.35">
      <c r="K109" t="str">
        <f t="shared" si="1"/>
        <v/>
      </c>
    </row>
    <row r="110" spans="11:11" x14ac:dyDescent="0.35">
      <c r="K110" t="str">
        <f t="shared" si="1"/>
        <v/>
      </c>
    </row>
    <row r="111" spans="11:11" x14ac:dyDescent="0.35">
      <c r="K111" t="str">
        <f t="shared" si="1"/>
        <v/>
      </c>
    </row>
    <row r="112" spans="11:11" x14ac:dyDescent="0.35">
      <c r="K112" t="str">
        <f t="shared" si="1"/>
        <v/>
      </c>
    </row>
    <row r="113" spans="11:11" x14ac:dyDescent="0.35">
      <c r="K113" t="str">
        <f t="shared" si="1"/>
        <v/>
      </c>
    </row>
    <row r="114" spans="11:11" x14ac:dyDescent="0.35">
      <c r="K114" t="str">
        <f t="shared" si="1"/>
        <v/>
      </c>
    </row>
    <row r="115" spans="11:11" x14ac:dyDescent="0.35">
      <c r="K115" t="str">
        <f t="shared" si="1"/>
        <v/>
      </c>
    </row>
    <row r="116" spans="11:11" x14ac:dyDescent="0.35">
      <c r="K116" t="str">
        <f t="shared" si="1"/>
        <v/>
      </c>
    </row>
    <row r="117" spans="11:11" x14ac:dyDescent="0.35">
      <c r="K117" t="str">
        <f t="shared" si="1"/>
        <v/>
      </c>
    </row>
    <row r="118" spans="11:11" x14ac:dyDescent="0.35">
      <c r="K118" t="str">
        <f t="shared" si="1"/>
        <v/>
      </c>
    </row>
    <row r="119" spans="11:11" x14ac:dyDescent="0.35">
      <c r="K119" t="str">
        <f t="shared" si="1"/>
        <v/>
      </c>
    </row>
    <row r="120" spans="11:11" x14ac:dyDescent="0.35">
      <c r="K120" t="str">
        <f t="shared" si="1"/>
        <v/>
      </c>
    </row>
    <row r="121" spans="11:11" x14ac:dyDescent="0.35">
      <c r="K121" t="str">
        <f t="shared" si="1"/>
        <v/>
      </c>
    </row>
    <row r="122" spans="11:11" x14ac:dyDescent="0.35">
      <c r="K122" t="str">
        <f t="shared" si="1"/>
        <v/>
      </c>
    </row>
    <row r="123" spans="11:11" x14ac:dyDescent="0.35">
      <c r="K123" t="str">
        <f t="shared" si="1"/>
        <v/>
      </c>
    </row>
    <row r="124" spans="11:11" x14ac:dyDescent="0.35">
      <c r="K124" t="str">
        <f t="shared" si="1"/>
        <v/>
      </c>
    </row>
    <row r="125" spans="11:11" x14ac:dyDescent="0.35">
      <c r="K125" t="str">
        <f t="shared" si="1"/>
        <v/>
      </c>
    </row>
    <row r="126" spans="11:11" x14ac:dyDescent="0.35">
      <c r="K126" t="str">
        <f t="shared" si="1"/>
        <v/>
      </c>
    </row>
    <row r="127" spans="11:11" x14ac:dyDescent="0.35">
      <c r="K127" t="str">
        <f t="shared" si="1"/>
        <v/>
      </c>
    </row>
    <row r="128" spans="11:11" x14ac:dyDescent="0.35">
      <c r="K128" t="str">
        <f t="shared" si="1"/>
        <v/>
      </c>
    </row>
    <row r="129" spans="11:11" x14ac:dyDescent="0.35">
      <c r="K129" t="str">
        <f t="shared" si="1"/>
        <v/>
      </c>
    </row>
    <row r="130" spans="11:11" x14ac:dyDescent="0.35">
      <c r="K130" t="str">
        <f t="shared" si="1"/>
        <v/>
      </c>
    </row>
    <row r="131" spans="11:11" x14ac:dyDescent="0.35">
      <c r="K131" t="str">
        <f t="shared" ref="K131:K194" si="2">IF(J131="","",SUMIFS($D$3:$D$9999,$B$3:$B$9999,J131,$C$3:$C$9999,"&gt;="&amp;StartDate,$C$3:$C$9999,"&lt;="&amp;EndDate))</f>
        <v/>
      </c>
    </row>
    <row r="132" spans="11:11" x14ac:dyDescent="0.35">
      <c r="K132" t="str">
        <f t="shared" si="2"/>
        <v/>
      </c>
    </row>
    <row r="133" spans="11:11" x14ac:dyDescent="0.35">
      <c r="K133" t="str">
        <f t="shared" si="2"/>
        <v/>
      </c>
    </row>
    <row r="134" spans="11:11" x14ac:dyDescent="0.35">
      <c r="K134" t="str">
        <f t="shared" si="2"/>
        <v/>
      </c>
    </row>
    <row r="135" spans="11:11" x14ac:dyDescent="0.35">
      <c r="K135" t="str">
        <f t="shared" si="2"/>
        <v/>
      </c>
    </row>
    <row r="136" spans="11:11" x14ac:dyDescent="0.35">
      <c r="K136" t="str">
        <f t="shared" si="2"/>
        <v/>
      </c>
    </row>
    <row r="137" spans="11:11" x14ac:dyDescent="0.35">
      <c r="K137" t="str">
        <f t="shared" si="2"/>
        <v/>
      </c>
    </row>
    <row r="138" spans="11:11" x14ac:dyDescent="0.35">
      <c r="K138" t="str">
        <f t="shared" si="2"/>
        <v/>
      </c>
    </row>
    <row r="139" spans="11:11" x14ac:dyDescent="0.35">
      <c r="K139" t="str">
        <f t="shared" si="2"/>
        <v/>
      </c>
    </row>
    <row r="140" spans="11:11" x14ac:dyDescent="0.35">
      <c r="K140" t="str">
        <f t="shared" si="2"/>
        <v/>
      </c>
    </row>
    <row r="141" spans="11:11" x14ac:dyDescent="0.35">
      <c r="K141" t="str">
        <f t="shared" si="2"/>
        <v/>
      </c>
    </row>
    <row r="142" spans="11:11" x14ac:dyDescent="0.35">
      <c r="K142" t="str">
        <f t="shared" si="2"/>
        <v/>
      </c>
    </row>
    <row r="143" spans="11:11" x14ac:dyDescent="0.35">
      <c r="K143" t="str">
        <f t="shared" si="2"/>
        <v/>
      </c>
    </row>
    <row r="144" spans="11:11" x14ac:dyDescent="0.35">
      <c r="K144" t="str">
        <f t="shared" si="2"/>
        <v/>
      </c>
    </row>
    <row r="145" spans="11:11" x14ac:dyDescent="0.35">
      <c r="K145" t="str">
        <f t="shared" si="2"/>
        <v/>
      </c>
    </row>
    <row r="146" spans="11:11" x14ac:dyDescent="0.35">
      <c r="K146" t="str">
        <f t="shared" si="2"/>
        <v/>
      </c>
    </row>
    <row r="147" spans="11:11" x14ac:dyDescent="0.35">
      <c r="K147" t="str">
        <f t="shared" si="2"/>
        <v/>
      </c>
    </row>
    <row r="148" spans="11:11" x14ac:dyDescent="0.35">
      <c r="K148" t="str">
        <f t="shared" si="2"/>
        <v/>
      </c>
    </row>
    <row r="149" spans="11:11" x14ac:dyDescent="0.35">
      <c r="K149" t="str">
        <f t="shared" si="2"/>
        <v/>
      </c>
    </row>
    <row r="150" spans="11:11" x14ac:dyDescent="0.35">
      <c r="K150" t="str">
        <f t="shared" si="2"/>
        <v/>
      </c>
    </row>
    <row r="151" spans="11:11" x14ac:dyDescent="0.35">
      <c r="K151" t="str">
        <f t="shared" si="2"/>
        <v/>
      </c>
    </row>
    <row r="152" spans="11:11" x14ac:dyDescent="0.35">
      <c r="K152" t="str">
        <f t="shared" si="2"/>
        <v/>
      </c>
    </row>
    <row r="153" spans="11:11" x14ac:dyDescent="0.35">
      <c r="K153" t="str">
        <f t="shared" si="2"/>
        <v/>
      </c>
    </row>
    <row r="154" spans="11:11" x14ac:dyDescent="0.35">
      <c r="K154" t="str">
        <f t="shared" si="2"/>
        <v/>
      </c>
    </row>
    <row r="155" spans="11:11" x14ac:dyDescent="0.35">
      <c r="K155" t="str">
        <f t="shared" si="2"/>
        <v/>
      </c>
    </row>
    <row r="156" spans="11:11" x14ac:dyDescent="0.35">
      <c r="K156" t="str">
        <f t="shared" si="2"/>
        <v/>
      </c>
    </row>
    <row r="157" spans="11:11" x14ac:dyDescent="0.35">
      <c r="K157" t="str">
        <f t="shared" si="2"/>
        <v/>
      </c>
    </row>
    <row r="158" spans="11:11" x14ac:dyDescent="0.35">
      <c r="K158" t="str">
        <f t="shared" si="2"/>
        <v/>
      </c>
    </row>
    <row r="159" spans="11:11" x14ac:dyDescent="0.35">
      <c r="K159" t="str">
        <f t="shared" si="2"/>
        <v/>
      </c>
    </row>
    <row r="160" spans="11:11" x14ac:dyDescent="0.35">
      <c r="K160" t="str">
        <f t="shared" si="2"/>
        <v/>
      </c>
    </row>
    <row r="161" spans="11:11" x14ac:dyDescent="0.35">
      <c r="K161" t="str">
        <f t="shared" si="2"/>
        <v/>
      </c>
    </row>
    <row r="162" spans="11:11" x14ac:dyDescent="0.35">
      <c r="K162" t="str">
        <f t="shared" si="2"/>
        <v/>
      </c>
    </row>
    <row r="163" spans="11:11" x14ac:dyDescent="0.35">
      <c r="K163" t="str">
        <f t="shared" si="2"/>
        <v/>
      </c>
    </row>
    <row r="164" spans="11:11" x14ac:dyDescent="0.35">
      <c r="K164" t="str">
        <f t="shared" si="2"/>
        <v/>
      </c>
    </row>
    <row r="165" spans="11:11" x14ac:dyDescent="0.35">
      <c r="K165" t="str">
        <f t="shared" si="2"/>
        <v/>
      </c>
    </row>
    <row r="166" spans="11:11" x14ac:dyDescent="0.35">
      <c r="K166" t="str">
        <f t="shared" si="2"/>
        <v/>
      </c>
    </row>
    <row r="167" spans="11:11" x14ac:dyDescent="0.35">
      <c r="K167" t="str">
        <f t="shared" si="2"/>
        <v/>
      </c>
    </row>
    <row r="168" spans="11:11" x14ac:dyDescent="0.35">
      <c r="K168" t="str">
        <f t="shared" si="2"/>
        <v/>
      </c>
    </row>
    <row r="169" spans="11:11" x14ac:dyDescent="0.35">
      <c r="K169" t="str">
        <f t="shared" si="2"/>
        <v/>
      </c>
    </row>
    <row r="170" spans="11:11" x14ac:dyDescent="0.35">
      <c r="K170" t="str">
        <f t="shared" si="2"/>
        <v/>
      </c>
    </row>
    <row r="171" spans="11:11" x14ac:dyDescent="0.35">
      <c r="K171" t="str">
        <f t="shared" si="2"/>
        <v/>
      </c>
    </row>
    <row r="172" spans="11:11" x14ac:dyDescent="0.35">
      <c r="K172" t="str">
        <f t="shared" si="2"/>
        <v/>
      </c>
    </row>
    <row r="173" spans="11:11" x14ac:dyDescent="0.35">
      <c r="K173" t="str">
        <f t="shared" si="2"/>
        <v/>
      </c>
    </row>
    <row r="174" spans="11:11" x14ac:dyDescent="0.35">
      <c r="K174" t="str">
        <f t="shared" si="2"/>
        <v/>
      </c>
    </row>
    <row r="175" spans="11:11" x14ac:dyDescent="0.35">
      <c r="K175" t="str">
        <f t="shared" si="2"/>
        <v/>
      </c>
    </row>
    <row r="176" spans="11:11" x14ac:dyDescent="0.35">
      <c r="K176" t="str">
        <f t="shared" si="2"/>
        <v/>
      </c>
    </row>
    <row r="177" spans="11:11" x14ac:dyDescent="0.35">
      <c r="K177" t="str">
        <f t="shared" si="2"/>
        <v/>
      </c>
    </row>
    <row r="178" spans="11:11" x14ac:dyDescent="0.35">
      <c r="K178" t="str">
        <f t="shared" si="2"/>
        <v/>
      </c>
    </row>
    <row r="179" spans="11:11" x14ac:dyDescent="0.35">
      <c r="K179" t="str">
        <f t="shared" si="2"/>
        <v/>
      </c>
    </row>
    <row r="180" spans="11:11" x14ac:dyDescent="0.35">
      <c r="K180" t="str">
        <f t="shared" si="2"/>
        <v/>
      </c>
    </row>
    <row r="181" spans="11:11" x14ac:dyDescent="0.35">
      <c r="K181" t="str">
        <f t="shared" si="2"/>
        <v/>
      </c>
    </row>
    <row r="182" spans="11:11" x14ac:dyDescent="0.35">
      <c r="K182" t="str">
        <f t="shared" si="2"/>
        <v/>
      </c>
    </row>
    <row r="183" spans="11:11" x14ac:dyDescent="0.35">
      <c r="K183" t="str">
        <f t="shared" si="2"/>
        <v/>
      </c>
    </row>
    <row r="184" spans="11:11" x14ac:dyDescent="0.35">
      <c r="K184" t="str">
        <f t="shared" si="2"/>
        <v/>
      </c>
    </row>
    <row r="185" spans="11:11" x14ac:dyDescent="0.35">
      <c r="K185" t="str">
        <f t="shared" si="2"/>
        <v/>
      </c>
    </row>
    <row r="186" spans="11:11" x14ac:dyDescent="0.35">
      <c r="K186" t="str">
        <f t="shared" si="2"/>
        <v/>
      </c>
    </row>
    <row r="187" spans="11:11" x14ac:dyDescent="0.35">
      <c r="K187" t="str">
        <f t="shared" si="2"/>
        <v/>
      </c>
    </row>
    <row r="188" spans="11:11" x14ac:dyDescent="0.35">
      <c r="K188" t="str">
        <f t="shared" si="2"/>
        <v/>
      </c>
    </row>
    <row r="189" spans="11:11" x14ac:dyDescent="0.35">
      <c r="K189" t="str">
        <f t="shared" si="2"/>
        <v/>
      </c>
    </row>
    <row r="190" spans="11:11" x14ac:dyDescent="0.35">
      <c r="K190" t="str">
        <f t="shared" si="2"/>
        <v/>
      </c>
    </row>
    <row r="191" spans="11:11" x14ac:dyDescent="0.35">
      <c r="K191" t="str">
        <f t="shared" si="2"/>
        <v/>
      </c>
    </row>
    <row r="192" spans="11:11" x14ac:dyDescent="0.35">
      <c r="K192" t="str">
        <f t="shared" si="2"/>
        <v/>
      </c>
    </row>
    <row r="193" spans="11:11" x14ac:dyDescent="0.35">
      <c r="K193" t="str">
        <f t="shared" si="2"/>
        <v/>
      </c>
    </row>
    <row r="194" spans="11:11" x14ac:dyDescent="0.35">
      <c r="K194" t="str">
        <f t="shared" si="2"/>
        <v/>
      </c>
    </row>
    <row r="195" spans="11:11" x14ac:dyDescent="0.35">
      <c r="K195" t="str">
        <f t="shared" ref="K195:K258" si="3">IF(J195="","",SUMIFS($D$3:$D$9999,$B$3:$B$9999,J195,$C$3:$C$9999,"&gt;="&amp;StartDate,$C$3:$C$9999,"&lt;="&amp;EndDate))</f>
        <v/>
      </c>
    </row>
    <row r="196" spans="11:11" x14ac:dyDescent="0.35">
      <c r="K196" t="str">
        <f t="shared" si="3"/>
        <v/>
      </c>
    </row>
    <row r="197" spans="11:11" x14ac:dyDescent="0.35">
      <c r="K197" t="str">
        <f t="shared" si="3"/>
        <v/>
      </c>
    </row>
    <row r="198" spans="11:11" x14ac:dyDescent="0.35">
      <c r="K198" t="str">
        <f t="shared" si="3"/>
        <v/>
      </c>
    </row>
    <row r="199" spans="11:11" x14ac:dyDescent="0.35">
      <c r="K199" t="str">
        <f t="shared" si="3"/>
        <v/>
      </c>
    </row>
    <row r="200" spans="11:11" x14ac:dyDescent="0.35">
      <c r="K200" t="str">
        <f t="shared" si="3"/>
        <v/>
      </c>
    </row>
    <row r="201" spans="11:11" x14ac:dyDescent="0.35">
      <c r="K201" t="str">
        <f t="shared" si="3"/>
        <v/>
      </c>
    </row>
    <row r="202" spans="11:11" x14ac:dyDescent="0.35">
      <c r="K202" t="str">
        <f t="shared" si="3"/>
        <v/>
      </c>
    </row>
    <row r="203" spans="11:11" x14ac:dyDescent="0.35">
      <c r="K203" t="str">
        <f t="shared" si="3"/>
        <v/>
      </c>
    </row>
    <row r="204" spans="11:11" x14ac:dyDescent="0.35">
      <c r="K204" t="str">
        <f t="shared" si="3"/>
        <v/>
      </c>
    </row>
    <row r="205" spans="11:11" x14ac:dyDescent="0.35">
      <c r="K205" t="str">
        <f t="shared" si="3"/>
        <v/>
      </c>
    </row>
    <row r="206" spans="11:11" x14ac:dyDescent="0.35">
      <c r="K206" t="str">
        <f t="shared" si="3"/>
        <v/>
      </c>
    </row>
    <row r="207" spans="11:11" x14ac:dyDescent="0.35">
      <c r="K207" t="str">
        <f t="shared" si="3"/>
        <v/>
      </c>
    </row>
    <row r="208" spans="11:11" x14ac:dyDescent="0.35">
      <c r="K208" t="str">
        <f t="shared" si="3"/>
        <v/>
      </c>
    </row>
    <row r="209" spans="11:11" x14ac:dyDescent="0.35">
      <c r="K209" t="str">
        <f t="shared" si="3"/>
        <v/>
      </c>
    </row>
    <row r="210" spans="11:11" x14ac:dyDescent="0.35">
      <c r="K210" t="str">
        <f t="shared" si="3"/>
        <v/>
      </c>
    </row>
    <row r="211" spans="11:11" x14ac:dyDescent="0.35">
      <c r="K211" t="str">
        <f t="shared" si="3"/>
        <v/>
      </c>
    </row>
    <row r="212" spans="11:11" x14ac:dyDescent="0.35">
      <c r="K212" t="str">
        <f t="shared" si="3"/>
        <v/>
      </c>
    </row>
    <row r="213" spans="11:11" x14ac:dyDescent="0.35">
      <c r="K213" t="str">
        <f t="shared" si="3"/>
        <v/>
      </c>
    </row>
    <row r="214" spans="11:11" x14ac:dyDescent="0.35">
      <c r="K214" t="str">
        <f t="shared" si="3"/>
        <v/>
      </c>
    </row>
    <row r="215" spans="11:11" x14ac:dyDescent="0.35">
      <c r="K215" t="str">
        <f t="shared" si="3"/>
        <v/>
      </c>
    </row>
    <row r="216" spans="11:11" x14ac:dyDescent="0.35">
      <c r="K216" t="str">
        <f t="shared" si="3"/>
        <v/>
      </c>
    </row>
    <row r="217" spans="11:11" x14ac:dyDescent="0.35">
      <c r="K217" t="str">
        <f t="shared" si="3"/>
        <v/>
      </c>
    </row>
    <row r="218" spans="11:11" x14ac:dyDescent="0.35">
      <c r="K218" t="str">
        <f t="shared" si="3"/>
        <v/>
      </c>
    </row>
    <row r="219" spans="11:11" x14ac:dyDescent="0.35">
      <c r="K219" t="str">
        <f t="shared" si="3"/>
        <v/>
      </c>
    </row>
    <row r="220" spans="11:11" x14ac:dyDescent="0.35">
      <c r="K220" t="str">
        <f t="shared" si="3"/>
        <v/>
      </c>
    </row>
    <row r="221" spans="11:11" x14ac:dyDescent="0.35">
      <c r="K221" t="str">
        <f t="shared" si="3"/>
        <v/>
      </c>
    </row>
    <row r="222" spans="11:11" x14ac:dyDescent="0.35">
      <c r="K222" t="str">
        <f t="shared" si="3"/>
        <v/>
      </c>
    </row>
    <row r="223" spans="11:11" x14ac:dyDescent="0.35">
      <c r="K223" t="str">
        <f t="shared" si="3"/>
        <v/>
      </c>
    </row>
    <row r="224" spans="11:11" x14ac:dyDescent="0.35">
      <c r="K224" t="str">
        <f t="shared" si="3"/>
        <v/>
      </c>
    </row>
    <row r="225" spans="11:11" x14ac:dyDescent="0.35">
      <c r="K225" t="str">
        <f t="shared" si="3"/>
        <v/>
      </c>
    </row>
    <row r="226" spans="11:11" x14ac:dyDescent="0.35">
      <c r="K226" t="str">
        <f t="shared" si="3"/>
        <v/>
      </c>
    </row>
    <row r="227" spans="11:11" x14ac:dyDescent="0.35">
      <c r="K227" t="str">
        <f t="shared" si="3"/>
        <v/>
      </c>
    </row>
    <row r="228" spans="11:11" x14ac:dyDescent="0.35">
      <c r="K228" t="str">
        <f t="shared" si="3"/>
        <v/>
      </c>
    </row>
    <row r="229" spans="11:11" x14ac:dyDescent="0.35">
      <c r="K229" t="str">
        <f t="shared" si="3"/>
        <v/>
      </c>
    </row>
    <row r="230" spans="11:11" x14ac:dyDescent="0.35">
      <c r="K230" t="str">
        <f t="shared" si="3"/>
        <v/>
      </c>
    </row>
    <row r="231" spans="11:11" x14ac:dyDescent="0.35">
      <c r="K231" t="str">
        <f t="shared" si="3"/>
        <v/>
      </c>
    </row>
    <row r="232" spans="11:11" x14ac:dyDescent="0.35">
      <c r="K232" t="str">
        <f t="shared" si="3"/>
        <v/>
      </c>
    </row>
    <row r="233" spans="11:11" x14ac:dyDescent="0.35">
      <c r="K233" t="str">
        <f t="shared" si="3"/>
        <v/>
      </c>
    </row>
    <row r="234" spans="11:11" x14ac:dyDescent="0.35">
      <c r="K234" t="str">
        <f t="shared" si="3"/>
        <v/>
      </c>
    </row>
    <row r="235" spans="11:11" x14ac:dyDescent="0.35">
      <c r="K235" t="str">
        <f t="shared" si="3"/>
        <v/>
      </c>
    </row>
    <row r="236" spans="11:11" x14ac:dyDescent="0.35">
      <c r="K236" t="str">
        <f t="shared" si="3"/>
        <v/>
      </c>
    </row>
    <row r="237" spans="11:11" x14ac:dyDescent="0.35">
      <c r="K237" t="str">
        <f t="shared" si="3"/>
        <v/>
      </c>
    </row>
    <row r="238" spans="11:11" x14ac:dyDescent="0.35">
      <c r="K238" t="str">
        <f t="shared" si="3"/>
        <v/>
      </c>
    </row>
    <row r="239" spans="11:11" x14ac:dyDescent="0.35">
      <c r="K239" t="str">
        <f t="shared" si="3"/>
        <v/>
      </c>
    </row>
    <row r="240" spans="11:11" x14ac:dyDescent="0.35">
      <c r="K240" t="str">
        <f t="shared" si="3"/>
        <v/>
      </c>
    </row>
    <row r="241" spans="11:11" x14ac:dyDescent="0.35">
      <c r="K241" t="str">
        <f t="shared" si="3"/>
        <v/>
      </c>
    </row>
    <row r="242" spans="11:11" x14ac:dyDescent="0.35">
      <c r="K242" t="str">
        <f t="shared" si="3"/>
        <v/>
      </c>
    </row>
    <row r="243" spans="11:11" x14ac:dyDescent="0.35">
      <c r="K243" t="str">
        <f t="shared" si="3"/>
        <v/>
      </c>
    </row>
    <row r="244" spans="11:11" x14ac:dyDescent="0.35">
      <c r="K244" t="str">
        <f t="shared" si="3"/>
        <v/>
      </c>
    </row>
    <row r="245" spans="11:11" x14ac:dyDescent="0.35">
      <c r="K245" t="str">
        <f t="shared" si="3"/>
        <v/>
      </c>
    </row>
    <row r="246" spans="11:11" x14ac:dyDescent="0.35">
      <c r="K246" t="str">
        <f t="shared" si="3"/>
        <v/>
      </c>
    </row>
    <row r="247" spans="11:11" x14ac:dyDescent="0.35">
      <c r="K247" t="str">
        <f t="shared" si="3"/>
        <v/>
      </c>
    </row>
    <row r="248" spans="11:11" x14ac:dyDescent="0.35">
      <c r="K248" t="str">
        <f t="shared" si="3"/>
        <v/>
      </c>
    </row>
    <row r="249" spans="11:11" x14ac:dyDescent="0.35">
      <c r="K249" t="str">
        <f t="shared" si="3"/>
        <v/>
      </c>
    </row>
    <row r="250" spans="11:11" x14ac:dyDescent="0.35">
      <c r="K250" t="str">
        <f t="shared" si="3"/>
        <v/>
      </c>
    </row>
    <row r="251" spans="11:11" x14ac:dyDescent="0.35">
      <c r="K251" t="str">
        <f t="shared" si="3"/>
        <v/>
      </c>
    </row>
    <row r="252" spans="11:11" x14ac:dyDescent="0.35">
      <c r="K252" t="str">
        <f t="shared" si="3"/>
        <v/>
      </c>
    </row>
    <row r="253" spans="11:11" x14ac:dyDescent="0.35">
      <c r="K253" t="str">
        <f t="shared" si="3"/>
        <v/>
      </c>
    </row>
    <row r="254" spans="11:11" x14ac:dyDescent="0.35">
      <c r="K254" t="str">
        <f t="shared" si="3"/>
        <v/>
      </c>
    </row>
    <row r="255" spans="11:11" x14ac:dyDescent="0.35">
      <c r="K255" t="str">
        <f t="shared" si="3"/>
        <v/>
      </c>
    </row>
    <row r="256" spans="11:11" x14ac:dyDescent="0.35">
      <c r="K256" t="str">
        <f t="shared" si="3"/>
        <v/>
      </c>
    </row>
    <row r="257" spans="11:11" x14ac:dyDescent="0.35">
      <c r="K257" t="str">
        <f t="shared" si="3"/>
        <v/>
      </c>
    </row>
    <row r="258" spans="11:11" x14ac:dyDescent="0.35">
      <c r="K258" t="str">
        <f t="shared" si="3"/>
        <v/>
      </c>
    </row>
    <row r="259" spans="11:11" x14ac:dyDescent="0.35">
      <c r="K259" t="str">
        <f t="shared" ref="K259:K322" si="4">IF(J259="","",SUMIFS($D$3:$D$9999,$B$3:$B$9999,J259,$C$3:$C$9999,"&gt;="&amp;StartDate,$C$3:$C$9999,"&lt;="&amp;EndDate))</f>
        <v/>
      </c>
    </row>
    <row r="260" spans="11:11" x14ac:dyDescent="0.35">
      <c r="K260" t="str">
        <f t="shared" si="4"/>
        <v/>
      </c>
    </row>
    <row r="261" spans="11:11" x14ac:dyDescent="0.35">
      <c r="K261" t="str">
        <f t="shared" si="4"/>
        <v/>
      </c>
    </row>
    <row r="262" spans="11:11" x14ac:dyDescent="0.35">
      <c r="K262" t="str">
        <f t="shared" si="4"/>
        <v/>
      </c>
    </row>
    <row r="263" spans="11:11" x14ac:dyDescent="0.35">
      <c r="K263" t="str">
        <f t="shared" si="4"/>
        <v/>
      </c>
    </row>
    <row r="264" spans="11:11" x14ac:dyDescent="0.35">
      <c r="K264" t="str">
        <f t="shared" si="4"/>
        <v/>
      </c>
    </row>
    <row r="265" spans="11:11" x14ac:dyDescent="0.35">
      <c r="K265" t="str">
        <f t="shared" si="4"/>
        <v/>
      </c>
    </row>
    <row r="266" spans="11:11" x14ac:dyDescent="0.35">
      <c r="K266" t="str">
        <f t="shared" si="4"/>
        <v/>
      </c>
    </row>
    <row r="267" spans="11:11" x14ac:dyDescent="0.35">
      <c r="K267" t="str">
        <f t="shared" si="4"/>
        <v/>
      </c>
    </row>
    <row r="268" spans="11:11" x14ac:dyDescent="0.35">
      <c r="K268" t="str">
        <f t="shared" si="4"/>
        <v/>
      </c>
    </row>
    <row r="269" spans="11:11" x14ac:dyDescent="0.35">
      <c r="K269" t="str">
        <f t="shared" si="4"/>
        <v/>
      </c>
    </row>
    <row r="270" spans="11:11" x14ac:dyDescent="0.35">
      <c r="K270" t="str">
        <f t="shared" si="4"/>
        <v/>
      </c>
    </row>
    <row r="271" spans="11:11" x14ac:dyDescent="0.35">
      <c r="K271" t="str">
        <f t="shared" si="4"/>
        <v/>
      </c>
    </row>
    <row r="272" spans="11:11" x14ac:dyDescent="0.35">
      <c r="K272" t="str">
        <f t="shared" si="4"/>
        <v/>
      </c>
    </row>
    <row r="273" spans="11:11" x14ac:dyDescent="0.35">
      <c r="K273" t="str">
        <f t="shared" si="4"/>
        <v/>
      </c>
    </row>
    <row r="274" spans="11:11" x14ac:dyDescent="0.35">
      <c r="K274" t="str">
        <f t="shared" si="4"/>
        <v/>
      </c>
    </row>
    <row r="275" spans="11:11" x14ac:dyDescent="0.35">
      <c r="K275" t="str">
        <f t="shared" si="4"/>
        <v/>
      </c>
    </row>
    <row r="276" spans="11:11" x14ac:dyDescent="0.35">
      <c r="K276" t="str">
        <f t="shared" si="4"/>
        <v/>
      </c>
    </row>
    <row r="277" spans="11:11" x14ac:dyDescent="0.35">
      <c r="K277" t="str">
        <f t="shared" si="4"/>
        <v/>
      </c>
    </row>
    <row r="278" spans="11:11" x14ac:dyDescent="0.35">
      <c r="K278" t="str">
        <f t="shared" si="4"/>
        <v/>
      </c>
    </row>
    <row r="279" spans="11:11" x14ac:dyDescent="0.35">
      <c r="K279" t="str">
        <f t="shared" si="4"/>
        <v/>
      </c>
    </row>
    <row r="280" spans="11:11" x14ac:dyDescent="0.35">
      <c r="K280" t="str">
        <f t="shared" si="4"/>
        <v/>
      </c>
    </row>
    <row r="281" spans="11:11" x14ac:dyDescent="0.35">
      <c r="K281" t="str">
        <f t="shared" si="4"/>
        <v/>
      </c>
    </row>
    <row r="282" spans="11:11" x14ac:dyDescent="0.35">
      <c r="K282" t="str">
        <f t="shared" si="4"/>
        <v/>
      </c>
    </row>
    <row r="283" spans="11:11" x14ac:dyDescent="0.35">
      <c r="K283" t="str">
        <f t="shared" si="4"/>
        <v/>
      </c>
    </row>
    <row r="284" spans="11:11" x14ac:dyDescent="0.35">
      <c r="K284" t="str">
        <f t="shared" si="4"/>
        <v/>
      </c>
    </row>
    <row r="285" spans="11:11" x14ac:dyDescent="0.35">
      <c r="K285" t="str">
        <f t="shared" si="4"/>
        <v/>
      </c>
    </row>
    <row r="286" spans="11:11" x14ac:dyDescent="0.35">
      <c r="K286" t="str">
        <f t="shared" si="4"/>
        <v/>
      </c>
    </row>
    <row r="287" spans="11:11" x14ac:dyDescent="0.35">
      <c r="K287" t="str">
        <f t="shared" si="4"/>
        <v/>
      </c>
    </row>
    <row r="288" spans="11:11" x14ac:dyDescent="0.35">
      <c r="K288" t="str">
        <f t="shared" si="4"/>
        <v/>
      </c>
    </row>
    <row r="289" spans="11:11" x14ac:dyDescent="0.35">
      <c r="K289" t="str">
        <f t="shared" si="4"/>
        <v/>
      </c>
    </row>
    <row r="290" spans="11:11" x14ac:dyDescent="0.35">
      <c r="K290" t="str">
        <f t="shared" si="4"/>
        <v/>
      </c>
    </row>
    <row r="291" spans="11:11" x14ac:dyDescent="0.35">
      <c r="K291" t="str">
        <f t="shared" si="4"/>
        <v/>
      </c>
    </row>
    <row r="292" spans="11:11" x14ac:dyDescent="0.35">
      <c r="K292" t="str">
        <f t="shared" si="4"/>
        <v/>
      </c>
    </row>
    <row r="293" spans="11:11" x14ac:dyDescent="0.35">
      <c r="K293" t="str">
        <f t="shared" si="4"/>
        <v/>
      </c>
    </row>
    <row r="294" spans="11:11" x14ac:dyDescent="0.35">
      <c r="K294" t="str">
        <f t="shared" si="4"/>
        <v/>
      </c>
    </row>
    <row r="295" spans="11:11" x14ac:dyDescent="0.35">
      <c r="K295" t="str">
        <f t="shared" si="4"/>
        <v/>
      </c>
    </row>
    <row r="296" spans="11:11" x14ac:dyDescent="0.35">
      <c r="K296" t="str">
        <f t="shared" si="4"/>
        <v/>
      </c>
    </row>
    <row r="297" spans="11:11" x14ac:dyDescent="0.35">
      <c r="K297" t="str">
        <f t="shared" si="4"/>
        <v/>
      </c>
    </row>
    <row r="298" spans="11:11" x14ac:dyDescent="0.35">
      <c r="K298" t="str">
        <f t="shared" si="4"/>
        <v/>
      </c>
    </row>
    <row r="299" spans="11:11" x14ac:dyDescent="0.35">
      <c r="K299" t="str">
        <f t="shared" si="4"/>
        <v/>
      </c>
    </row>
    <row r="300" spans="11:11" x14ac:dyDescent="0.35">
      <c r="K300" t="str">
        <f t="shared" si="4"/>
        <v/>
      </c>
    </row>
    <row r="301" spans="11:11" x14ac:dyDescent="0.35">
      <c r="K301" t="str">
        <f t="shared" si="4"/>
        <v/>
      </c>
    </row>
    <row r="302" spans="11:11" x14ac:dyDescent="0.35">
      <c r="K302" t="str">
        <f t="shared" si="4"/>
        <v/>
      </c>
    </row>
    <row r="303" spans="11:11" x14ac:dyDescent="0.35">
      <c r="K303" t="str">
        <f t="shared" si="4"/>
        <v/>
      </c>
    </row>
    <row r="304" spans="11:11" x14ac:dyDescent="0.35">
      <c r="K304" t="str">
        <f t="shared" si="4"/>
        <v/>
      </c>
    </row>
    <row r="305" spans="11:11" x14ac:dyDescent="0.35">
      <c r="K305" t="str">
        <f t="shared" si="4"/>
        <v/>
      </c>
    </row>
    <row r="306" spans="11:11" x14ac:dyDescent="0.35">
      <c r="K306" t="str">
        <f t="shared" si="4"/>
        <v/>
      </c>
    </row>
    <row r="307" spans="11:11" x14ac:dyDescent="0.35">
      <c r="K307" t="str">
        <f t="shared" si="4"/>
        <v/>
      </c>
    </row>
    <row r="308" spans="11:11" x14ac:dyDescent="0.35">
      <c r="K308" t="str">
        <f t="shared" si="4"/>
        <v/>
      </c>
    </row>
    <row r="309" spans="11:11" x14ac:dyDescent="0.35">
      <c r="K309" t="str">
        <f t="shared" si="4"/>
        <v/>
      </c>
    </row>
    <row r="310" spans="11:11" x14ac:dyDescent="0.35">
      <c r="K310" t="str">
        <f t="shared" si="4"/>
        <v/>
      </c>
    </row>
    <row r="311" spans="11:11" x14ac:dyDescent="0.35">
      <c r="K311" t="str">
        <f t="shared" si="4"/>
        <v/>
      </c>
    </row>
    <row r="312" spans="11:11" x14ac:dyDescent="0.35">
      <c r="K312" t="str">
        <f t="shared" si="4"/>
        <v/>
      </c>
    </row>
    <row r="313" spans="11:11" x14ac:dyDescent="0.35">
      <c r="K313" t="str">
        <f t="shared" si="4"/>
        <v/>
      </c>
    </row>
    <row r="314" spans="11:11" x14ac:dyDescent="0.35">
      <c r="K314" t="str">
        <f t="shared" si="4"/>
        <v/>
      </c>
    </row>
    <row r="315" spans="11:11" x14ac:dyDescent="0.35">
      <c r="K315" t="str">
        <f t="shared" si="4"/>
        <v/>
      </c>
    </row>
    <row r="316" spans="11:11" x14ac:dyDescent="0.35">
      <c r="K316" t="str">
        <f t="shared" si="4"/>
        <v/>
      </c>
    </row>
    <row r="317" spans="11:11" x14ac:dyDescent="0.35">
      <c r="K317" t="str">
        <f t="shared" si="4"/>
        <v/>
      </c>
    </row>
    <row r="318" spans="11:11" x14ac:dyDescent="0.35">
      <c r="K318" t="str">
        <f t="shared" si="4"/>
        <v/>
      </c>
    </row>
    <row r="319" spans="11:11" x14ac:dyDescent="0.35">
      <c r="K319" t="str">
        <f t="shared" si="4"/>
        <v/>
      </c>
    </row>
    <row r="320" spans="11:11" x14ac:dyDescent="0.35">
      <c r="K320" t="str">
        <f t="shared" si="4"/>
        <v/>
      </c>
    </row>
    <row r="321" spans="11:11" x14ac:dyDescent="0.35">
      <c r="K321" t="str">
        <f t="shared" si="4"/>
        <v/>
      </c>
    </row>
    <row r="322" spans="11:11" x14ac:dyDescent="0.35">
      <c r="K322" t="str">
        <f t="shared" si="4"/>
        <v/>
      </c>
    </row>
    <row r="323" spans="11:11" x14ac:dyDescent="0.35">
      <c r="K323" t="str">
        <f t="shared" ref="K323:K362" si="5">IF(J323="","",SUMIFS($D$3:$D$9999,$B$3:$B$9999,J323,$C$3:$C$9999,"&gt;="&amp;StartDate,$C$3:$C$9999,"&lt;="&amp;EndDate))</f>
        <v/>
      </c>
    </row>
    <row r="324" spans="11:11" x14ac:dyDescent="0.35">
      <c r="K324" t="str">
        <f t="shared" si="5"/>
        <v/>
      </c>
    </row>
    <row r="325" spans="11:11" x14ac:dyDescent="0.35">
      <c r="K325" t="str">
        <f t="shared" si="5"/>
        <v/>
      </c>
    </row>
    <row r="326" spans="11:11" x14ac:dyDescent="0.35">
      <c r="K326" t="str">
        <f t="shared" si="5"/>
        <v/>
      </c>
    </row>
    <row r="327" spans="11:11" x14ac:dyDescent="0.35">
      <c r="K327" t="str">
        <f t="shared" si="5"/>
        <v/>
      </c>
    </row>
    <row r="328" spans="11:11" x14ac:dyDescent="0.35">
      <c r="K328" t="str">
        <f t="shared" si="5"/>
        <v/>
      </c>
    </row>
    <row r="329" spans="11:11" x14ac:dyDescent="0.35">
      <c r="K329" t="str">
        <f t="shared" si="5"/>
        <v/>
      </c>
    </row>
    <row r="330" spans="11:11" x14ac:dyDescent="0.35">
      <c r="K330" t="str">
        <f t="shared" si="5"/>
        <v/>
      </c>
    </row>
    <row r="331" spans="11:11" x14ac:dyDescent="0.35">
      <c r="K331" t="str">
        <f t="shared" si="5"/>
        <v/>
      </c>
    </row>
    <row r="332" spans="11:11" x14ac:dyDescent="0.35">
      <c r="K332" t="str">
        <f t="shared" si="5"/>
        <v/>
      </c>
    </row>
    <row r="333" spans="11:11" x14ac:dyDescent="0.35">
      <c r="K333" t="str">
        <f t="shared" si="5"/>
        <v/>
      </c>
    </row>
    <row r="334" spans="11:11" x14ac:dyDescent="0.35">
      <c r="K334" t="str">
        <f t="shared" si="5"/>
        <v/>
      </c>
    </row>
    <row r="335" spans="11:11" x14ac:dyDescent="0.35">
      <c r="K335" t="str">
        <f t="shared" si="5"/>
        <v/>
      </c>
    </row>
    <row r="336" spans="11:11" x14ac:dyDescent="0.35">
      <c r="K336" t="str">
        <f t="shared" si="5"/>
        <v/>
      </c>
    </row>
    <row r="337" spans="11:11" x14ac:dyDescent="0.35">
      <c r="K337" t="str">
        <f t="shared" si="5"/>
        <v/>
      </c>
    </row>
    <row r="338" spans="11:11" x14ac:dyDescent="0.35">
      <c r="K338" t="str">
        <f t="shared" si="5"/>
        <v/>
      </c>
    </row>
    <row r="339" spans="11:11" x14ac:dyDescent="0.35">
      <c r="K339" t="str">
        <f t="shared" si="5"/>
        <v/>
      </c>
    </row>
    <row r="340" spans="11:11" x14ac:dyDescent="0.35">
      <c r="K340" t="str">
        <f t="shared" si="5"/>
        <v/>
      </c>
    </row>
    <row r="341" spans="11:11" x14ac:dyDescent="0.35">
      <c r="K341" t="str">
        <f t="shared" si="5"/>
        <v/>
      </c>
    </row>
    <row r="342" spans="11:11" x14ac:dyDescent="0.35">
      <c r="K342" t="str">
        <f t="shared" si="5"/>
        <v/>
      </c>
    </row>
    <row r="343" spans="11:11" x14ac:dyDescent="0.35">
      <c r="K343" t="str">
        <f t="shared" si="5"/>
        <v/>
      </c>
    </row>
    <row r="344" spans="11:11" x14ac:dyDescent="0.35">
      <c r="K344" t="str">
        <f t="shared" si="5"/>
        <v/>
      </c>
    </row>
    <row r="345" spans="11:11" x14ac:dyDescent="0.35">
      <c r="K345" t="str">
        <f t="shared" si="5"/>
        <v/>
      </c>
    </row>
    <row r="346" spans="11:11" x14ac:dyDescent="0.35">
      <c r="K346" t="str">
        <f t="shared" si="5"/>
        <v/>
      </c>
    </row>
    <row r="347" spans="11:11" x14ac:dyDescent="0.35">
      <c r="K347" t="str">
        <f t="shared" si="5"/>
        <v/>
      </c>
    </row>
    <row r="348" spans="11:11" x14ac:dyDescent="0.35">
      <c r="K348" t="str">
        <f t="shared" si="5"/>
        <v/>
      </c>
    </row>
    <row r="349" spans="11:11" x14ac:dyDescent="0.35">
      <c r="K349" t="str">
        <f t="shared" si="5"/>
        <v/>
      </c>
    </row>
    <row r="350" spans="11:11" x14ac:dyDescent="0.35">
      <c r="K350" t="str">
        <f t="shared" si="5"/>
        <v/>
      </c>
    </row>
    <row r="351" spans="11:11" x14ac:dyDescent="0.35">
      <c r="K351" t="str">
        <f t="shared" si="5"/>
        <v/>
      </c>
    </row>
    <row r="352" spans="11:11" x14ac:dyDescent="0.35">
      <c r="K352" t="str">
        <f t="shared" si="5"/>
        <v/>
      </c>
    </row>
    <row r="353" spans="11:11" x14ac:dyDescent="0.35">
      <c r="K353" t="str">
        <f t="shared" si="5"/>
        <v/>
      </c>
    </row>
    <row r="354" spans="11:11" x14ac:dyDescent="0.35">
      <c r="K354" t="str">
        <f t="shared" si="5"/>
        <v/>
      </c>
    </row>
    <row r="355" spans="11:11" x14ac:dyDescent="0.35">
      <c r="K355" t="str">
        <f t="shared" si="5"/>
        <v/>
      </c>
    </row>
    <row r="356" spans="11:11" x14ac:dyDescent="0.35">
      <c r="K356" t="str">
        <f t="shared" si="5"/>
        <v/>
      </c>
    </row>
    <row r="357" spans="11:11" x14ac:dyDescent="0.35">
      <c r="K357" t="str">
        <f t="shared" si="5"/>
        <v/>
      </c>
    </row>
    <row r="358" spans="11:11" x14ac:dyDescent="0.35">
      <c r="K358" t="str">
        <f t="shared" si="5"/>
        <v/>
      </c>
    </row>
    <row r="359" spans="11:11" x14ac:dyDescent="0.35">
      <c r="K359" t="str">
        <f t="shared" si="5"/>
        <v/>
      </c>
    </row>
    <row r="360" spans="11:11" x14ac:dyDescent="0.35">
      <c r="K360" t="str">
        <f t="shared" si="5"/>
        <v/>
      </c>
    </row>
    <row r="361" spans="11:11" x14ac:dyDescent="0.35">
      <c r="K361" t="str">
        <f t="shared" si="5"/>
        <v/>
      </c>
    </row>
    <row r="362" spans="11:11" x14ac:dyDescent="0.35">
      <c r="K362" t="str">
        <f t="shared" si="5"/>
        <v/>
      </c>
    </row>
  </sheetData>
  <mergeCells count="2">
    <mergeCell ref="A1:D1"/>
    <mergeCell ref="H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2:H30"/>
  <sheetViews>
    <sheetView showRowColHeaders="0" workbookViewId="0">
      <selection activeCell="N26" sqref="N26"/>
    </sheetView>
  </sheetViews>
  <sheetFormatPr defaultRowHeight="14.5" x14ac:dyDescent="0.35"/>
  <cols>
    <col min="3" max="3" width="16.7265625" customWidth="1"/>
    <col min="4" max="4" width="10" customWidth="1"/>
    <col min="6" max="6" width="15.7265625" customWidth="1"/>
    <col min="8" max="8" width="17.453125" bestFit="1" customWidth="1"/>
  </cols>
  <sheetData>
    <row r="2" spans="3:8" ht="15" thickBot="1" x14ac:dyDescent="0.4"/>
    <row r="3" spans="3:8" x14ac:dyDescent="0.35">
      <c r="C3" s="114" t="s">
        <v>202</v>
      </c>
      <c r="D3" s="115"/>
      <c r="F3" s="33" t="s">
        <v>181</v>
      </c>
      <c r="H3" s="33" t="s">
        <v>220</v>
      </c>
    </row>
    <row r="4" spans="3:8" x14ac:dyDescent="0.35">
      <c r="C4" s="31" t="s">
        <v>179</v>
      </c>
      <c r="D4" s="32" t="s">
        <v>22</v>
      </c>
      <c r="F4" s="40" t="s">
        <v>205</v>
      </c>
      <c r="H4" s="40" t="s">
        <v>222</v>
      </c>
    </row>
    <row r="5" spans="3:8" x14ac:dyDescent="0.35">
      <c r="C5" s="34" t="s">
        <v>188</v>
      </c>
      <c r="D5" s="35" t="s">
        <v>180</v>
      </c>
      <c r="F5" s="41" t="s">
        <v>206</v>
      </c>
      <c r="H5" s="41" t="s">
        <v>223</v>
      </c>
    </row>
    <row r="6" spans="3:8" x14ac:dyDescent="0.35">
      <c r="C6" s="36" t="s">
        <v>189</v>
      </c>
      <c r="D6" s="37" t="s">
        <v>180</v>
      </c>
      <c r="F6" s="41" t="s">
        <v>203</v>
      </c>
      <c r="H6" s="41" t="s">
        <v>224</v>
      </c>
    </row>
    <row r="7" spans="3:8" x14ac:dyDescent="0.35">
      <c r="C7" s="36" t="s">
        <v>187</v>
      </c>
      <c r="D7" s="37" t="s">
        <v>180</v>
      </c>
      <c r="F7" s="41" t="s">
        <v>207</v>
      </c>
      <c r="H7" s="41" t="s">
        <v>221</v>
      </c>
    </row>
    <row r="8" spans="3:8" x14ac:dyDescent="0.35">
      <c r="C8" s="36" t="s">
        <v>199</v>
      </c>
      <c r="D8" s="37" t="s">
        <v>201</v>
      </c>
      <c r="F8" s="41" t="s">
        <v>204</v>
      </c>
      <c r="H8" s="41" t="s">
        <v>225</v>
      </c>
    </row>
    <row r="9" spans="3:8" x14ac:dyDescent="0.35">
      <c r="C9" s="36" t="s">
        <v>198</v>
      </c>
      <c r="D9" s="37" t="s">
        <v>201</v>
      </c>
      <c r="F9" s="41"/>
      <c r="H9" s="41"/>
    </row>
    <row r="10" spans="3:8" x14ac:dyDescent="0.35">
      <c r="C10" s="36" t="s">
        <v>197</v>
      </c>
      <c r="D10" s="37" t="s">
        <v>201</v>
      </c>
      <c r="F10" s="41"/>
      <c r="H10" s="41"/>
    </row>
    <row r="11" spans="3:8" x14ac:dyDescent="0.35">
      <c r="C11" s="36" t="s">
        <v>200</v>
      </c>
      <c r="D11" s="37" t="s">
        <v>201</v>
      </c>
      <c r="F11" s="41"/>
      <c r="H11" s="41"/>
    </row>
    <row r="12" spans="3:8" x14ac:dyDescent="0.35">
      <c r="C12" s="36" t="s">
        <v>196</v>
      </c>
      <c r="D12" s="37" t="s">
        <v>201</v>
      </c>
      <c r="F12" s="41"/>
      <c r="H12" s="41"/>
    </row>
    <row r="13" spans="3:8" x14ac:dyDescent="0.35">
      <c r="C13" s="36"/>
      <c r="D13" s="37"/>
      <c r="F13" s="41"/>
      <c r="H13" s="41"/>
    </row>
    <row r="14" spans="3:8" x14ac:dyDescent="0.35">
      <c r="C14" s="36"/>
      <c r="D14" s="37"/>
      <c r="F14" s="41"/>
      <c r="H14" s="41"/>
    </row>
    <row r="15" spans="3:8" x14ac:dyDescent="0.35">
      <c r="C15" s="36"/>
      <c r="D15" s="37"/>
      <c r="F15" s="41"/>
      <c r="H15" s="41"/>
    </row>
    <row r="16" spans="3:8" x14ac:dyDescent="0.35">
      <c r="C16" s="36"/>
      <c r="D16" s="37"/>
      <c r="F16" s="41"/>
      <c r="H16" s="41"/>
    </row>
    <row r="17" spans="3:8" x14ac:dyDescent="0.35">
      <c r="C17" s="36"/>
      <c r="D17" s="37"/>
      <c r="F17" s="41"/>
      <c r="H17" s="41"/>
    </row>
    <row r="18" spans="3:8" x14ac:dyDescent="0.35">
      <c r="C18" s="36"/>
      <c r="D18" s="37"/>
      <c r="F18" s="41"/>
      <c r="H18" s="41"/>
    </row>
    <row r="19" spans="3:8" x14ac:dyDescent="0.35">
      <c r="C19" s="36"/>
      <c r="D19" s="37"/>
      <c r="F19" s="41"/>
      <c r="H19" s="41"/>
    </row>
    <row r="20" spans="3:8" x14ac:dyDescent="0.35">
      <c r="C20" s="36"/>
      <c r="D20" s="37"/>
      <c r="F20" s="41"/>
      <c r="H20" s="41"/>
    </row>
    <row r="21" spans="3:8" x14ac:dyDescent="0.35">
      <c r="C21" s="36"/>
      <c r="D21" s="37"/>
      <c r="F21" s="41"/>
      <c r="H21" s="41"/>
    </row>
    <row r="22" spans="3:8" x14ac:dyDescent="0.35">
      <c r="C22" s="36"/>
      <c r="D22" s="37"/>
      <c r="F22" s="41"/>
      <c r="H22" s="41"/>
    </row>
    <row r="23" spans="3:8" x14ac:dyDescent="0.35">
      <c r="C23" s="36"/>
      <c r="D23" s="37"/>
      <c r="F23" s="41"/>
      <c r="H23" s="41"/>
    </row>
    <row r="24" spans="3:8" x14ac:dyDescent="0.35">
      <c r="C24" s="36"/>
      <c r="D24" s="37"/>
      <c r="F24" s="41"/>
      <c r="H24" s="41"/>
    </row>
    <row r="25" spans="3:8" x14ac:dyDescent="0.35">
      <c r="C25" s="36"/>
      <c r="D25" s="37"/>
      <c r="F25" s="41"/>
      <c r="H25" s="41"/>
    </row>
    <row r="26" spans="3:8" x14ac:dyDescent="0.35">
      <c r="C26" s="36"/>
      <c r="D26" s="37"/>
      <c r="F26" s="41"/>
      <c r="H26" s="41"/>
    </row>
    <row r="27" spans="3:8" x14ac:dyDescent="0.35">
      <c r="C27" s="36"/>
      <c r="D27" s="37"/>
      <c r="F27" s="41"/>
      <c r="H27" s="41"/>
    </row>
    <row r="28" spans="3:8" x14ac:dyDescent="0.35">
      <c r="C28" s="36"/>
      <c r="D28" s="37"/>
      <c r="F28" s="41"/>
      <c r="H28" s="41"/>
    </row>
    <row r="29" spans="3:8" x14ac:dyDescent="0.35">
      <c r="C29" s="36"/>
      <c r="D29" s="37"/>
      <c r="F29" s="41"/>
      <c r="H29" s="41"/>
    </row>
    <row r="30" spans="3:8" ht="15" thickBot="1" x14ac:dyDescent="0.4">
      <c r="C30" s="38"/>
      <c r="D30" s="39"/>
      <c r="F30" s="42"/>
      <c r="H30" s="42"/>
    </row>
  </sheetData>
  <sortState xmlns:xlrd2="http://schemas.microsoft.com/office/spreadsheetml/2017/richdata2" ref="F4:F8">
    <sortCondition ref="F4"/>
  </sortState>
  <mergeCells count="1">
    <mergeCell ref="C3:D3"/>
  </mergeCells>
  <conditionalFormatting sqref="C5:D30 F4:F30">
    <cfRule type="expression" dxfId="3" priority="2">
      <formula>MOD(ROW(),2)=0</formula>
    </cfRule>
  </conditionalFormatting>
  <conditionalFormatting sqref="H4:H30">
    <cfRule type="expression" dxfId="2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72"/>
  <sheetViews>
    <sheetView workbookViewId="0">
      <selection activeCell="C21" sqref="C21"/>
    </sheetView>
  </sheetViews>
  <sheetFormatPr defaultRowHeight="14.5" x14ac:dyDescent="0.35"/>
  <cols>
    <col min="2" max="2" width="17.453125" customWidth="1"/>
    <col min="3" max="3" width="28.54296875" bestFit="1" customWidth="1"/>
  </cols>
  <sheetData>
    <row r="1" spans="1:6" x14ac:dyDescent="0.35">
      <c r="A1" s="116" t="s">
        <v>210</v>
      </c>
      <c r="B1" s="116"/>
      <c r="C1" s="116"/>
      <c r="D1" s="116"/>
      <c r="E1" s="116"/>
      <c r="F1" s="116"/>
    </row>
    <row r="2" spans="1:6" x14ac:dyDescent="0.35">
      <c r="A2" s="49" t="s">
        <v>186</v>
      </c>
      <c r="B2" s="49" t="s">
        <v>7</v>
      </c>
      <c r="C2" s="49" t="s">
        <v>8</v>
      </c>
      <c r="D2" s="49" t="s">
        <v>9</v>
      </c>
      <c r="E2" s="49" t="s">
        <v>3</v>
      </c>
      <c r="F2" s="49" t="s">
        <v>10</v>
      </c>
    </row>
    <row r="3" spans="1:6" x14ac:dyDescent="0.35">
      <c r="A3" s="2">
        <v>1</v>
      </c>
      <c r="B3" t="s">
        <v>215</v>
      </c>
      <c r="C3" t="s">
        <v>169</v>
      </c>
      <c r="D3" s="2">
        <v>1</v>
      </c>
      <c r="E3" s="50">
        <v>16</v>
      </c>
      <c r="F3" s="50">
        <v>16</v>
      </c>
    </row>
    <row r="4" spans="1:6" x14ac:dyDescent="0.35">
      <c r="A4" s="2">
        <v>1</v>
      </c>
      <c r="B4" t="s">
        <v>216</v>
      </c>
      <c r="C4" t="s">
        <v>170</v>
      </c>
      <c r="D4" s="2">
        <v>1</v>
      </c>
      <c r="E4" s="50">
        <v>14</v>
      </c>
      <c r="F4" s="50">
        <v>14</v>
      </c>
    </row>
    <row r="5" spans="1:6" x14ac:dyDescent="0.35">
      <c r="A5" s="2">
        <v>1</v>
      </c>
      <c r="B5" t="s">
        <v>214</v>
      </c>
      <c r="C5" t="s">
        <v>167</v>
      </c>
      <c r="D5" s="2">
        <v>1</v>
      </c>
      <c r="E5" s="50">
        <v>19</v>
      </c>
      <c r="F5" s="50">
        <v>19</v>
      </c>
    </row>
    <row r="6" spans="1:6" x14ac:dyDescent="0.35">
      <c r="A6" s="2">
        <v>2</v>
      </c>
      <c r="B6" t="s">
        <v>219</v>
      </c>
      <c r="C6" t="s">
        <v>174</v>
      </c>
      <c r="D6" s="2">
        <v>1</v>
      </c>
      <c r="E6" s="44">
        <v>21</v>
      </c>
      <c r="F6" s="44">
        <v>21</v>
      </c>
    </row>
    <row r="7" spans="1:6" x14ac:dyDescent="0.35">
      <c r="A7" s="2">
        <v>2</v>
      </c>
      <c r="B7" t="s">
        <v>215</v>
      </c>
      <c r="C7" t="s">
        <v>169</v>
      </c>
      <c r="D7" s="2">
        <v>2</v>
      </c>
      <c r="E7" s="44">
        <v>16</v>
      </c>
      <c r="F7" s="44">
        <v>32</v>
      </c>
    </row>
    <row r="8" spans="1:6" x14ac:dyDescent="0.35">
      <c r="A8" s="2">
        <v>2</v>
      </c>
      <c r="B8" t="s">
        <v>213</v>
      </c>
      <c r="C8" t="s">
        <v>166</v>
      </c>
      <c r="D8" s="2">
        <v>1</v>
      </c>
      <c r="E8" s="44">
        <v>22</v>
      </c>
      <c r="F8" s="44">
        <v>22</v>
      </c>
    </row>
    <row r="9" spans="1:6" x14ac:dyDescent="0.35">
      <c r="A9" s="2">
        <v>3</v>
      </c>
      <c r="B9" t="s">
        <v>216</v>
      </c>
      <c r="C9" t="s">
        <v>170</v>
      </c>
      <c r="D9" s="2">
        <v>1</v>
      </c>
      <c r="E9" s="44">
        <v>14</v>
      </c>
      <c r="F9" s="44">
        <v>14</v>
      </c>
    </row>
    <row r="10" spans="1:6" x14ac:dyDescent="0.35">
      <c r="A10" s="2">
        <v>3</v>
      </c>
      <c r="B10" t="s">
        <v>215</v>
      </c>
      <c r="C10" t="s">
        <v>169</v>
      </c>
      <c r="D10" s="2">
        <v>1</v>
      </c>
      <c r="E10" s="44">
        <v>16</v>
      </c>
      <c r="F10" s="44">
        <v>16</v>
      </c>
    </row>
    <row r="11" spans="1:6" x14ac:dyDescent="0.35">
      <c r="A11" s="2">
        <v>4</v>
      </c>
      <c r="B11" t="s">
        <v>216</v>
      </c>
      <c r="C11" t="s">
        <v>170</v>
      </c>
      <c r="D11" s="2">
        <v>1</v>
      </c>
      <c r="E11" s="44">
        <v>14</v>
      </c>
      <c r="F11" s="44">
        <v>14</v>
      </c>
    </row>
    <row r="12" spans="1:6" x14ac:dyDescent="0.35">
      <c r="A12" s="2">
        <v>4</v>
      </c>
      <c r="B12" t="s">
        <v>215</v>
      </c>
      <c r="C12" t="s">
        <v>169</v>
      </c>
      <c r="D12" s="2">
        <v>1</v>
      </c>
      <c r="E12" s="44">
        <v>16</v>
      </c>
      <c r="F12" s="44">
        <v>16</v>
      </c>
    </row>
    <row r="13" spans="1:6" x14ac:dyDescent="0.35">
      <c r="A13" s="2">
        <v>5</v>
      </c>
      <c r="B13" t="s">
        <v>215</v>
      </c>
      <c r="C13" t="s">
        <v>169</v>
      </c>
      <c r="D13" s="2">
        <v>1</v>
      </c>
      <c r="E13" s="44">
        <v>16</v>
      </c>
      <c r="F13" s="44">
        <v>16</v>
      </c>
    </row>
    <row r="14" spans="1:6" x14ac:dyDescent="0.35">
      <c r="A14" s="2">
        <v>5</v>
      </c>
      <c r="B14" t="s">
        <v>214</v>
      </c>
      <c r="C14" t="s">
        <v>167</v>
      </c>
      <c r="D14" s="2">
        <v>1</v>
      </c>
      <c r="E14" s="44">
        <v>19</v>
      </c>
      <c r="F14" s="44">
        <v>19</v>
      </c>
    </row>
    <row r="15" spans="1:6" x14ac:dyDescent="0.35">
      <c r="A15" s="2">
        <v>6</v>
      </c>
      <c r="B15" t="s">
        <v>216</v>
      </c>
      <c r="C15" t="s">
        <v>170</v>
      </c>
      <c r="D15" s="2">
        <v>1</v>
      </c>
      <c r="E15" s="44">
        <v>14</v>
      </c>
      <c r="F15" s="44">
        <v>14</v>
      </c>
    </row>
    <row r="16" spans="1:6" x14ac:dyDescent="0.35">
      <c r="A16" s="2">
        <v>6</v>
      </c>
      <c r="B16" t="s">
        <v>214</v>
      </c>
      <c r="C16" t="s">
        <v>167</v>
      </c>
      <c r="D16" s="2">
        <v>5</v>
      </c>
      <c r="E16" s="44">
        <v>19</v>
      </c>
      <c r="F16" s="44">
        <v>95</v>
      </c>
    </row>
    <row r="17" spans="1:6" x14ac:dyDescent="0.35">
      <c r="A17" s="2">
        <v>6</v>
      </c>
      <c r="B17" t="s">
        <v>219</v>
      </c>
      <c r="C17" t="s">
        <v>174</v>
      </c>
      <c r="D17" s="2">
        <v>1</v>
      </c>
      <c r="E17" s="44">
        <v>21</v>
      </c>
      <c r="F17" s="44">
        <v>21</v>
      </c>
    </row>
    <row r="18" spans="1:6" x14ac:dyDescent="0.35">
      <c r="A18" s="2">
        <v>7</v>
      </c>
      <c r="B18" t="s">
        <v>214</v>
      </c>
      <c r="C18" t="s">
        <v>167</v>
      </c>
      <c r="D18" s="2">
        <v>2</v>
      </c>
      <c r="E18" s="44">
        <v>19</v>
      </c>
      <c r="F18" s="44">
        <v>38</v>
      </c>
    </row>
    <row r="19" spans="1:6" x14ac:dyDescent="0.35">
      <c r="A19" s="2">
        <v>7</v>
      </c>
      <c r="B19" t="s">
        <v>216</v>
      </c>
      <c r="C19" t="s">
        <v>170</v>
      </c>
      <c r="D19" s="2">
        <v>1</v>
      </c>
      <c r="E19" s="44">
        <v>14</v>
      </c>
      <c r="F19" s="44">
        <v>14</v>
      </c>
    </row>
    <row r="20" spans="1:6" x14ac:dyDescent="0.35">
      <c r="A20" s="2">
        <v>7</v>
      </c>
      <c r="B20" t="s">
        <v>216</v>
      </c>
      <c r="C20" t="s">
        <v>170</v>
      </c>
      <c r="D20" s="2">
        <v>1</v>
      </c>
      <c r="E20" s="44">
        <v>14</v>
      </c>
      <c r="F20" s="44">
        <v>14</v>
      </c>
    </row>
    <row r="21" spans="1:6" x14ac:dyDescent="0.35">
      <c r="A21" s="2"/>
      <c r="D21" s="2"/>
      <c r="E21" s="50"/>
      <c r="F21" s="50"/>
    </row>
    <row r="22" spans="1:6" x14ac:dyDescent="0.35">
      <c r="A22" s="2"/>
      <c r="D22" s="2"/>
      <c r="E22" s="50"/>
      <c r="F22" s="50"/>
    </row>
    <row r="23" spans="1:6" x14ac:dyDescent="0.35">
      <c r="A23" s="2"/>
      <c r="D23" s="2"/>
      <c r="E23" s="50"/>
      <c r="F23" s="50"/>
    </row>
    <row r="24" spans="1:6" x14ac:dyDescent="0.35">
      <c r="A24" s="2"/>
      <c r="D24" s="2"/>
      <c r="E24" s="50"/>
      <c r="F24" s="50"/>
    </row>
    <row r="25" spans="1:6" x14ac:dyDescent="0.35">
      <c r="A25" s="2"/>
      <c r="D25" s="2"/>
      <c r="E25" s="50"/>
      <c r="F25" s="50"/>
    </row>
    <row r="26" spans="1:6" x14ac:dyDescent="0.35">
      <c r="A26" s="2"/>
      <c r="D26" s="2"/>
      <c r="E26" s="50"/>
      <c r="F26" s="50"/>
    </row>
    <row r="27" spans="1:6" x14ac:dyDescent="0.35">
      <c r="A27" s="2"/>
      <c r="D27" s="2"/>
      <c r="E27" s="50"/>
      <c r="F27" s="50"/>
    </row>
    <row r="28" spans="1:6" x14ac:dyDescent="0.35">
      <c r="A28" s="2"/>
      <c r="D28" s="2"/>
      <c r="E28" s="50"/>
      <c r="F28" s="50"/>
    </row>
    <row r="29" spans="1:6" x14ac:dyDescent="0.35">
      <c r="A29" s="2"/>
      <c r="D29" s="2"/>
      <c r="E29" s="50"/>
      <c r="F29" s="50"/>
    </row>
    <row r="30" spans="1:6" x14ac:dyDescent="0.35">
      <c r="A30" s="2"/>
      <c r="D30" s="2"/>
      <c r="E30" s="50"/>
      <c r="F30" s="50"/>
    </row>
    <row r="31" spans="1:6" x14ac:dyDescent="0.35">
      <c r="A31" s="2"/>
      <c r="D31" s="2"/>
      <c r="E31" s="50"/>
      <c r="F31" s="50"/>
    </row>
    <row r="32" spans="1:6" x14ac:dyDescent="0.35">
      <c r="A32" s="2"/>
      <c r="D32" s="2"/>
      <c r="E32" s="50"/>
      <c r="F32" s="50"/>
    </row>
    <row r="33" spans="1:6" x14ac:dyDescent="0.35">
      <c r="A33" s="2"/>
      <c r="D33" s="2"/>
      <c r="E33" s="50"/>
      <c r="F33" s="50"/>
    </row>
    <row r="34" spans="1:6" x14ac:dyDescent="0.35">
      <c r="A34" s="2"/>
      <c r="D34" s="2"/>
      <c r="E34" s="50"/>
      <c r="F34" s="50"/>
    </row>
    <row r="35" spans="1:6" x14ac:dyDescent="0.35">
      <c r="A35" s="2"/>
      <c r="D35" s="2"/>
      <c r="E35" s="50"/>
      <c r="F35" s="50"/>
    </row>
    <row r="36" spans="1:6" x14ac:dyDescent="0.35">
      <c r="A36" s="2"/>
      <c r="D36" s="2"/>
      <c r="E36" s="50"/>
      <c r="F36" s="50"/>
    </row>
    <row r="37" spans="1:6" x14ac:dyDescent="0.35">
      <c r="A37" s="2"/>
      <c r="D37" s="2"/>
      <c r="E37" s="50"/>
      <c r="F37" s="50"/>
    </row>
    <row r="38" spans="1:6" x14ac:dyDescent="0.35">
      <c r="A38" s="2"/>
      <c r="D38" s="2"/>
      <c r="E38" s="50"/>
      <c r="F38" s="50"/>
    </row>
    <row r="39" spans="1:6" x14ac:dyDescent="0.35">
      <c r="A39" s="2"/>
      <c r="D39" s="2"/>
      <c r="E39" s="50"/>
      <c r="F39" s="50"/>
    </row>
    <row r="40" spans="1:6" x14ac:dyDescent="0.35">
      <c r="A40" s="2"/>
      <c r="D40" s="2"/>
      <c r="E40" s="50"/>
      <c r="F40" s="50"/>
    </row>
    <row r="41" spans="1:6" x14ac:dyDescent="0.35">
      <c r="A41" s="2"/>
      <c r="D41" s="2"/>
      <c r="E41" s="50"/>
      <c r="F41" s="50"/>
    </row>
    <row r="42" spans="1:6" x14ac:dyDescent="0.35">
      <c r="A42" s="2"/>
      <c r="D42" s="2"/>
      <c r="E42" s="50"/>
      <c r="F42" s="50"/>
    </row>
    <row r="43" spans="1:6" x14ac:dyDescent="0.35">
      <c r="A43" s="2"/>
      <c r="D43" s="2"/>
      <c r="E43" s="50"/>
      <c r="F43" s="50"/>
    </row>
    <row r="44" spans="1:6" x14ac:dyDescent="0.35">
      <c r="A44" s="2"/>
      <c r="D44" s="2"/>
      <c r="E44" s="50"/>
      <c r="F44" s="50"/>
    </row>
    <row r="45" spans="1:6" x14ac:dyDescent="0.35">
      <c r="A45" s="2"/>
      <c r="D45" s="2"/>
      <c r="E45" s="50"/>
      <c r="F45" s="50"/>
    </row>
    <row r="46" spans="1:6" x14ac:dyDescent="0.35">
      <c r="A46" s="2"/>
      <c r="D46" s="2"/>
      <c r="E46" s="50"/>
      <c r="F46" s="50"/>
    </row>
    <row r="47" spans="1:6" x14ac:dyDescent="0.35">
      <c r="A47" s="2"/>
      <c r="D47" s="2"/>
      <c r="E47" s="50"/>
      <c r="F47" s="50"/>
    </row>
    <row r="48" spans="1:6" x14ac:dyDescent="0.35">
      <c r="A48" s="2"/>
      <c r="D48" s="2"/>
      <c r="E48" s="50"/>
      <c r="F48" s="50"/>
    </row>
    <row r="49" spans="1:6" x14ac:dyDescent="0.35">
      <c r="A49" s="2"/>
      <c r="D49" s="2"/>
      <c r="E49" s="50"/>
      <c r="F49" s="50"/>
    </row>
    <row r="50" spans="1:6" x14ac:dyDescent="0.35">
      <c r="A50" s="2"/>
      <c r="D50" s="2"/>
      <c r="E50" s="50"/>
      <c r="F50" s="50"/>
    </row>
    <row r="51" spans="1:6" x14ac:dyDescent="0.35">
      <c r="A51" s="2"/>
      <c r="D51" s="2"/>
      <c r="E51" s="50"/>
      <c r="F51" s="50"/>
    </row>
    <row r="52" spans="1:6" x14ac:dyDescent="0.35">
      <c r="A52" s="2"/>
      <c r="D52" s="2"/>
      <c r="E52" s="50"/>
      <c r="F52" s="50"/>
    </row>
    <row r="53" spans="1:6" x14ac:dyDescent="0.35">
      <c r="A53" s="2"/>
      <c r="D53" s="2"/>
      <c r="E53" s="50"/>
      <c r="F53" s="50"/>
    </row>
    <row r="54" spans="1:6" x14ac:dyDescent="0.35">
      <c r="A54" s="2"/>
      <c r="D54" s="2"/>
      <c r="E54" s="50"/>
      <c r="F54" s="50"/>
    </row>
    <row r="55" spans="1:6" x14ac:dyDescent="0.35">
      <c r="A55" s="2"/>
      <c r="D55" s="2"/>
      <c r="E55" s="50"/>
      <c r="F55" s="50"/>
    </row>
    <row r="56" spans="1:6" x14ac:dyDescent="0.35">
      <c r="A56" s="2"/>
      <c r="D56" s="2"/>
      <c r="E56" s="50"/>
      <c r="F56" s="50"/>
    </row>
    <row r="57" spans="1:6" x14ac:dyDescent="0.35">
      <c r="A57" s="2"/>
      <c r="D57" s="2"/>
      <c r="E57" s="50"/>
      <c r="F57" s="50"/>
    </row>
    <row r="58" spans="1:6" x14ac:dyDescent="0.35">
      <c r="A58" s="2"/>
      <c r="D58" s="2"/>
      <c r="E58" s="50"/>
      <c r="F58" s="50"/>
    </row>
    <row r="59" spans="1:6" x14ac:dyDescent="0.35">
      <c r="A59" s="2"/>
      <c r="D59" s="2"/>
      <c r="E59" s="50"/>
      <c r="F59" s="50"/>
    </row>
    <row r="60" spans="1:6" x14ac:dyDescent="0.35">
      <c r="A60" s="2"/>
      <c r="D60" s="2"/>
      <c r="E60" s="50"/>
      <c r="F60" s="50"/>
    </row>
    <row r="61" spans="1:6" x14ac:dyDescent="0.35">
      <c r="A61" s="2"/>
      <c r="D61" s="2"/>
      <c r="E61" s="50"/>
      <c r="F61" s="50"/>
    </row>
    <row r="62" spans="1:6" x14ac:dyDescent="0.35">
      <c r="A62" s="2"/>
      <c r="D62" s="2"/>
      <c r="E62" s="50"/>
      <c r="F62" s="50"/>
    </row>
    <row r="63" spans="1:6" x14ac:dyDescent="0.35">
      <c r="A63" s="2"/>
    </row>
    <row r="64" spans="1:6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34"/>
  <sheetViews>
    <sheetView workbookViewId="0">
      <selection activeCell="A6" sqref="A6:D6"/>
    </sheetView>
  </sheetViews>
  <sheetFormatPr defaultRowHeight="14.5" x14ac:dyDescent="0.35"/>
  <cols>
    <col min="1" max="1" width="5.7265625" bestFit="1" customWidth="1"/>
    <col min="2" max="2" width="17.453125" bestFit="1" customWidth="1"/>
    <col min="3" max="3" width="9.7265625" bestFit="1" customWidth="1"/>
    <col min="4" max="4" width="9.81640625" bestFit="1" customWidth="1"/>
  </cols>
  <sheetData>
    <row r="1" spans="1:4" x14ac:dyDescent="0.35">
      <c r="A1" s="117" t="s">
        <v>209</v>
      </c>
      <c r="B1" s="117"/>
      <c r="C1" s="117"/>
      <c r="D1" s="117"/>
    </row>
    <row r="2" spans="1:4" x14ac:dyDescent="0.35">
      <c r="A2" s="47" t="s">
        <v>242</v>
      </c>
      <c r="B2" s="47" t="s">
        <v>13</v>
      </c>
      <c r="C2" s="47" t="s">
        <v>11</v>
      </c>
      <c r="D2" s="47" t="s">
        <v>10</v>
      </c>
    </row>
    <row r="3" spans="1:4" x14ac:dyDescent="0.35">
      <c r="A3" s="2">
        <v>1</v>
      </c>
      <c r="B3" t="s">
        <v>221</v>
      </c>
      <c r="C3" s="43">
        <v>43832</v>
      </c>
      <c r="D3" s="50">
        <v>754</v>
      </c>
    </row>
    <row r="4" spans="1:4" x14ac:dyDescent="0.35">
      <c r="A4" s="2">
        <v>2</v>
      </c>
      <c r="B4" t="s">
        <v>225</v>
      </c>
      <c r="C4" s="43">
        <v>43835</v>
      </c>
      <c r="D4" s="44">
        <v>468</v>
      </c>
    </row>
    <row r="5" spans="1:4" x14ac:dyDescent="0.35">
      <c r="A5" s="2">
        <v>3</v>
      </c>
      <c r="B5" t="s">
        <v>223</v>
      </c>
      <c r="C5" s="43">
        <v>43855</v>
      </c>
      <c r="D5" s="44">
        <v>1080</v>
      </c>
    </row>
    <row r="6" spans="1:4" x14ac:dyDescent="0.35">
      <c r="A6" s="2">
        <v>4</v>
      </c>
      <c r="B6" t="s">
        <v>223</v>
      </c>
      <c r="C6" s="43">
        <v>43845</v>
      </c>
      <c r="D6" s="44">
        <v>957</v>
      </c>
    </row>
    <row r="7" spans="1:4" x14ac:dyDescent="0.35">
      <c r="A7" s="2"/>
      <c r="C7" s="43"/>
      <c r="D7" s="50"/>
    </row>
    <row r="8" spans="1:4" x14ac:dyDescent="0.35">
      <c r="A8" s="2"/>
      <c r="C8" s="43"/>
      <c r="D8" s="50"/>
    </row>
    <row r="9" spans="1:4" x14ac:dyDescent="0.35">
      <c r="A9" s="2"/>
      <c r="C9" s="43"/>
      <c r="D9" s="50"/>
    </row>
    <row r="10" spans="1:4" x14ac:dyDescent="0.35">
      <c r="A10" s="2"/>
      <c r="C10" s="43"/>
      <c r="D10" s="50"/>
    </row>
    <row r="11" spans="1:4" x14ac:dyDescent="0.35">
      <c r="A11" s="2"/>
      <c r="C11" s="43"/>
      <c r="D11" s="50"/>
    </row>
    <row r="12" spans="1:4" x14ac:dyDescent="0.35">
      <c r="A12" s="2"/>
      <c r="C12" s="43"/>
      <c r="D12" s="50"/>
    </row>
    <row r="13" spans="1:4" x14ac:dyDescent="0.35">
      <c r="A13" s="2"/>
      <c r="C13" s="43"/>
      <c r="D13" s="50"/>
    </row>
    <row r="14" spans="1:4" x14ac:dyDescent="0.35">
      <c r="A14" s="2"/>
      <c r="C14" s="43"/>
      <c r="D14" s="50"/>
    </row>
    <row r="15" spans="1:4" x14ac:dyDescent="0.35">
      <c r="A15" s="2"/>
      <c r="C15" s="43"/>
      <c r="D15" s="50"/>
    </row>
    <row r="16" spans="1:4" x14ac:dyDescent="0.35">
      <c r="A16" s="2"/>
      <c r="C16" s="43"/>
      <c r="D16" s="50"/>
    </row>
    <row r="17" spans="1:4" x14ac:dyDescent="0.35">
      <c r="A17" s="2"/>
      <c r="C17" s="43"/>
      <c r="D17" s="50"/>
    </row>
    <row r="18" spans="1:4" x14ac:dyDescent="0.35">
      <c r="A18" s="2"/>
      <c r="C18" s="43"/>
      <c r="D18" s="50"/>
    </row>
    <row r="19" spans="1:4" x14ac:dyDescent="0.35">
      <c r="A19" s="2"/>
      <c r="C19" s="43"/>
      <c r="D19" s="50"/>
    </row>
    <row r="20" spans="1:4" x14ac:dyDescent="0.35">
      <c r="A20" s="2"/>
      <c r="C20" s="43"/>
      <c r="D20" s="50"/>
    </row>
    <row r="21" spans="1:4" x14ac:dyDescent="0.35">
      <c r="A21" s="2"/>
      <c r="C21" s="43"/>
      <c r="D21" s="50"/>
    </row>
    <row r="22" spans="1:4" x14ac:dyDescent="0.35">
      <c r="A22" s="2"/>
      <c r="C22" s="43"/>
      <c r="D22" s="50"/>
    </row>
    <row r="23" spans="1:4" x14ac:dyDescent="0.35">
      <c r="A23" s="2"/>
      <c r="C23" s="43"/>
      <c r="D23" s="50"/>
    </row>
    <row r="24" spans="1:4" x14ac:dyDescent="0.35">
      <c r="A24" s="2"/>
      <c r="C24" s="43"/>
      <c r="D24" s="50"/>
    </row>
    <row r="25" spans="1:4" x14ac:dyDescent="0.35">
      <c r="A25" s="2"/>
      <c r="C25" s="43"/>
      <c r="D25" s="50"/>
    </row>
    <row r="26" spans="1:4" x14ac:dyDescent="0.35">
      <c r="A26" s="2"/>
      <c r="C26" s="43"/>
      <c r="D26" s="50"/>
    </row>
    <row r="27" spans="1:4" x14ac:dyDescent="0.35">
      <c r="A27" s="2"/>
      <c r="C27" s="43"/>
      <c r="D27" s="50"/>
    </row>
    <row r="28" spans="1:4" x14ac:dyDescent="0.35">
      <c r="A28" s="2"/>
      <c r="C28" s="43"/>
      <c r="D28" s="50"/>
    </row>
    <row r="29" spans="1:4" x14ac:dyDescent="0.35">
      <c r="A29" s="2"/>
      <c r="C29" s="43"/>
      <c r="D29" s="50"/>
    </row>
    <row r="30" spans="1:4" x14ac:dyDescent="0.35">
      <c r="A30" s="2"/>
      <c r="C30" s="43"/>
      <c r="D30" s="50"/>
    </row>
    <row r="31" spans="1:4" x14ac:dyDescent="0.35">
      <c r="A31" s="2"/>
      <c r="C31" s="43"/>
      <c r="D31" s="50"/>
    </row>
    <row r="32" spans="1:4" x14ac:dyDescent="0.35">
      <c r="A32" s="2"/>
      <c r="C32" s="43"/>
      <c r="D32" s="50"/>
    </row>
    <row r="33" spans="1:4" x14ac:dyDescent="0.35">
      <c r="A33" s="2"/>
      <c r="C33" s="43"/>
      <c r="D33" s="50"/>
    </row>
    <row r="34" spans="1:4" x14ac:dyDescent="0.35">
      <c r="A34" s="2"/>
      <c r="C34" s="43"/>
      <c r="D34" s="50"/>
    </row>
    <row r="35" spans="1:4" x14ac:dyDescent="0.35">
      <c r="A35" s="2"/>
      <c r="C35" s="43"/>
      <c r="D35" s="50"/>
    </row>
    <row r="36" spans="1:4" x14ac:dyDescent="0.35">
      <c r="A36" s="2"/>
      <c r="C36" s="43"/>
      <c r="D36" s="50"/>
    </row>
    <row r="37" spans="1:4" x14ac:dyDescent="0.35">
      <c r="A37" s="2"/>
      <c r="C37" s="43"/>
    </row>
    <row r="38" spans="1:4" x14ac:dyDescent="0.35">
      <c r="A38" s="2"/>
      <c r="C38" s="43"/>
    </row>
    <row r="39" spans="1:4" x14ac:dyDescent="0.35">
      <c r="A39" s="2"/>
      <c r="C39" s="43"/>
    </row>
    <row r="40" spans="1:4" x14ac:dyDescent="0.35">
      <c r="A40" s="2"/>
      <c r="C40" s="43"/>
    </row>
    <row r="41" spans="1:4" x14ac:dyDescent="0.35">
      <c r="A41" s="2"/>
    </row>
    <row r="42" spans="1:4" x14ac:dyDescent="0.35">
      <c r="A42" s="2"/>
    </row>
    <row r="43" spans="1:4" x14ac:dyDescent="0.35">
      <c r="A43" s="2"/>
    </row>
    <row r="44" spans="1:4" x14ac:dyDescent="0.35">
      <c r="A44" s="2"/>
    </row>
    <row r="45" spans="1:4" x14ac:dyDescent="0.35">
      <c r="A45" s="2"/>
    </row>
    <row r="46" spans="1:4" x14ac:dyDescent="0.35">
      <c r="A46" s="2"/>
    </row>
    <row r="47" spans="1:4" x14ac:dyDescent="0.35">
      <c r="A47" s="2"/>
    </row>
    <row r="48" spans="1:4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56"/>
    </row>
    <row r="126" spans="1:1" x14ac:dyDescent="0.35">
      <c r="A126" s="56"/>
    </row>
    <row r="127" spans="1:1" x14ac:dyDescent="0.35">
      <c r="A127" s="56"/>
    </row>
    <row r="128" spans="1:1" x14ac:dyDescent="0.35">
      <c r="A128" s="56"/>
    </row>
    <row r="129" spans="1:1" x14ac:dyDescent="0.35">
      <c r="A129" s="56"/>
    </row>
    <row r="130" spans="1:1" x14ac:dyDescent="0.35">
      <c r="A130" s="56"/>
    </row>
    <row r="131" spans="1:1" x14ac:dyDescent="0.35">
      <c r="A131" s="56"/>
    </row>
    <row r="132" spans="1:1" x14ac:dyDescent="0.35">
      <c r="A132" s="56"/>
    </row>
    <row r="133" spans="1:1" x14ac:dyDescent="0.35">
      <c r="A133" s="56"/>
    </row>
    <row r="134" spans="1:1" x14ac:dyDescent="0.35">
      <c r="A134" s="56"/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56"/>
  <sheetViews>
    <sheetView workbookViewId="0">
      <selection activeCell="A12" sqref="A12"/>
    </sheetView>
  </sheetViews>
  <sheetFormatPr defaultRowHeight="14.5" x14ac:dyDescent="0.35"/>
  <cols>
    <col min="1" max="1" width="7.1796875" bestFit="1" customWidth="1"/>
    <col min="2" max="2" width="17.26953125" bestFit="1" customWidth="1"/>
    <col min="3" max="3" width="13.81640625" customWidth="1"/>
    <col min="4" max="4" width="7.1796875" customWidth="1"/>
  </cols>
  <sheetData>
    <row r="1" spans="1:6" x14ac:dyDescent="0.35">
      <c r="A1" s="118" t="s">
        <v>226</v>
      </c>
      <c r="B1" s="118"/>
      <c r="C1" s="118"/>
      <c r="D1" s="118"/>
      <c r="E1" s="118"/>
      <c r="F1" s="118"/>
    </row>
    <row r="2" spans="1:6" x14ac:dyDescent="0.35">
      <c r="A2" s="48" t="s">
        <v>227</v>
      </c>
      <c r="B2" s="48" t="s">
        <v>7</v>
      </c>
      <c r="C2" s="48" t="s">
        <v>8</v>
      </c>
      <c r="D2" s="48" t="s">
        <v>9</v>
      </c>
      <c r="E2" s="48" t="s">
        <v>3</v>
      </c>
      <c r="F2" s="48" t="s">
        <v>10</v>
      </c>
    </row>
    <row r="3" spans="1:6" x14ac:dyDescent="0.35">
      <c r="A3" s="2">
        <v>1</v>
      </c>
      <c r="B3" t="s">
        <v>215</v>
      </c>
      <c r="C3" t="s">
        <v>169</v>
      </c>
      <c r="D3" s="2">
        <v>12</v>
      </c>
      <c r="E3" s="50">
        <v>11</v>
      </c>
      <c r="F3" s="50">
        <v>132</v>
      </c>
    </row>
    <row r="4" spans="1:6" x14ac:dyDescent="0.35">
      <c r="A4" s="2">
        <v>1</v>
      </c>
      <c r="B4" t="s">
        <v>213</v>
      </c>
      <c r="C4" t="s">
        <v>166</v>
      </c>
      <c r="D4" s="2">
        <v>14</v>
      </c>
      <c r="E4" s="50">
        <v>17</v>
      </c>
      <c r="F4" s="50">
        <v>238</v>
      </c>
    </row>
    <row r="5" spans="1:6" x14ac:dyDescent="0.35">
      <c r="A5" s="2">
        <v>1</v>
      </c>
      <c r="B5" t="s">
        <v>219</v>
      </c>
      <c r="C5" t="s">
        <v>174</v>
      </c>
      <c r="D5" s="2">
        <v>24</v>
      </c>
      <c r="E5" s="50">
        <v>16</v>
      </c>
      <c r="F5" s="50">
        <v>384</v>
      </c>
    </row>
    <row r="6" spans="1:6" x14ac:dyDescent="0.35">
      <c r="A6" s="2">
        <v>2</v>
      </c>
      <c r="B6" t="s">
        <v>215</v>
      </c>
      <c r="C6" t="s">
        <v>169</v>
      </c>
      <c r="D6" s="2">
        <v>12</v>
      </c>
      <c r="E6" s="50">
        <v>11</v>
      </c>
      <c r="F6" s="50">
        <v>132</v>
      </c>
    </row>
    <row r="7" spans="1:6" x14ac:dyDescent="0.35">
      <c r="A7" s="2">
        <v>2</v>
      </c>
      <c r="B7" t="s">
        <v>214</v>
      </c>
      <c r="C7" t="s">
        <v>167</v>
      </c>
      <c r="D7" s="2">
        <v>12</v>
      </c>
      <c r="E7" s="50">
        <v>14</v>
      </c>
      <c r="F7" s="50">
        <v>168</v>
      </c>
    </row>
    <row r="8" spans="1:6" x14ac:dyDescent="0.35">
      <c r="A8" s="2">
        <v>2</v>
      </c>
      <c r="B8" t="s">
        <v>214</v>
      </c>
      <c r="C8" t="s">
        <v>167</v>
      </c>
      <c r="D8" s="2">
        <v>12</v>
      </c>
      <c r="E8" s="50">
        <v>14</v>
      </c>
      <c r="F8" s="50">
        <v>168</v>
      </c>
    </row>
    <row r="9" spans="1:6" x14ac:dyDescent="0.35">
      <c r="A9" s="2">
        <v>3</v>
      </c>
      <c r="B9" t="s">
        <v>168</v>
      </c>
      <c r="C9" t="s">
        <v>168</v>
      </c>
      <c r="D9" s="2">
        <v>24</v>
      </c>
      <c r="E9" s="44">
        <v>22</v>
      </c>
      <c r="F9" s="44">
        <v>528</v>
      </c>
    </row>
    <row r="10" spans="1:6" x14ac:dyDescent="0.35">
      <c r="A10" s="2">
        <v>3</v>
      </c>
      <c r="B10" t="s">
        <v>214</v>
      </c>
      <c r="C10" t="s">
        <v>167</v>
      </c>
      <c r="D10" s="2">
        <v>12</v>
      </c>
      <c r="E10" s="44">
        <v>14</v>
      </c>
      <c r="F10" s="44">
        <v>168</v>
      </c>
    </row>
    <row r="11" spans="1:6" x14ac:dyDescent="0.35">
      <c r="A11" s="2">
        <v>3</v>
      </c>
      <c r="B11" t="s">
        <v>219</v>
      </c>
      <c r="C11" t="s">
        <v>174</v>
      </c>
      <c r="D11" s="2">
        <v>24</v>
      </c>
      <c r="E11" s="44">
        <v>16</v>
      </c>
      <c r="F11" s="44">
        <v>384</v>
      </c>
    </row>
    <row r="12" spans="1:6" x14ac:dyDescent="0.35">
      <c r="A12" s="2">
        <v>4</v>
      </c>
      <c r="B12" t="s">
        <v>216</v>
      </c>
      <c r="C12" t="s">
        <v>170</v>
      </c>
      <c r="D12" s="2">
        <v>5</v>
      </c>
      <c r="E12" s="44">
        <v>9</v>
      </c>
      <c r="F12" s="44">
        <v>45</v>
      </c>
    </row>
    <row r="13" spans="1:6" x14ac:dyDescent="0.35">
      <c r="A13" s="2">
        <v>4</v>
      </c>
      <c r="B13" t="s">
        <v>219</v>
      </c>
      <c r="C13" t="s">
        <v>174</v>
      </c>
      <c r="D13" s="2">
        <v>24</v>
      </c>
      <c r="E13" s="44">
        <v>16</v>
      </c>
      <c r="F13" s="44">
        <v>384</v>
      </c>
    </row>
    <row r="14" spans="1:6" x14ac:dyDescent="0.35">
      <c r="A14" s="2">
        <v>4</v>
      </c>
      <c r="B14" t="s">
        <v>168</v>
      </c>
      <c r="C14" t="s">
        <v>168</v>
      </c>
      <c r="D14" s="2">
        <v>24</v>
      </c>
      <c r="E14" s="44">
        <v>22</v>
      </c>
      <c r="F14" s="44">
        <v>528</v>
      </c>
    </row>
    <row r="15" spans="1:6" x14ac:dyDescent="0.35">
      <c r="A15" s="2"/>
      <c r="D15" s="2"/>
      <c r="E15" s="50"/>
      <c r="F15" s="50"/>
    </row>
    <row r="16" spans="1:6" x14ac:dyDescent="0.35">
      <c r="A16" s="2"/>
      <c r="D16" s="2"/>
      <c r="E16" s="50"/>
      <c r="F16" s="50"/>
    </row>
    <row r="17" spans="1:6" x14ac:dyDescent="0.35">
      <c r="A17" s="2"/>
      <c r="D17" s="2"/>
      <c r="E17" s="50"/>
      <c r="F17" s="50"/>
    </row>
    <row r="18" spans="1:6" x14ac:dyDescent="0.35">
      <c r="A18" s="2"/>
      <c r="D18" s="2"/>
      <c r="E18" s="50"/>
      <c r="F18" s="50"/>
    </row>
    <row r="19" spans="1:6" x14ac:dyDescent="0.35">
      <c r="A19" s="2"/>
      <c r="D19" s="2"/>
      <c r="E19" s="50"/>
      <c r="F19" s="50"/>
    </row>
    <row r="20" spans="1:6" x14ac:dyDescent="0.35">
      <c r="A20" s="2"/>
      <c r="D20" s="2"/>
      <c r="E20" s="50"/>
      <c r="F20" s="50"/>
    </row>
    <row r="21" spans="1:6" x14ac:dyDescent="0.35">
      <c r="A21" s="2"/>
      <c r="D21" s="2"/>
      <c r="E21" s="50"/>
      <c r="F21" s="50"/>
    </row>
    <row r="22" spans="1:6" x14ac:dyDescent="0.35">
      <c r="A22" s="2"/>
      <c r="D22" s="2"/>
      <c r="E22" s="50"/>
      <c r="F22" s="50"/>
    </row>
    <row r="23" spans="1:6" x14ac:dyDescent="0.35">
      <c r="A23" s="2"/>
      <c r="D23" s="2"/>
      <c r="E23" s="50"/>
      <c r="F23" s="50"/>
    </row>
    <row r="24" spans="1:6" x14ac:dyDescent="0.35">
      <c r="A24" s="2"/>
      <c r="D24" s="2"/>
      <c r="E24" s="50"/>
      <c r="F24" s="50"/>
    </row>
    <row r="25" spans="1:6" x14ac:dyDescent="0.35">
      <c r="A25" s="2"/>
      <c r="D25" s="2"/>
      <c r="E25" s="50"/>
      <c r="F25" s="50"/>
    </row>
    <row r="26" spans="1:6" x14ac:dyDescent="0.35">
      <c r="A26" s="2"/>
      <c r="D26" s="2"/>
      <c r="E26" s="50"/>
      <c r="F26" s="50"/>
    </row>
    <row r="27" spans="1:6" x14ac:dyDescent="0.35">
      <c r="A27" s="2"/>
      <c r="D27" s="2"/>
      <c r="E27" s="50"/>
      <c r="F27" s="50"/>
    </row>
    <row r="28" spans="1:6" x14ac:dyDescent="0.35">
      <c r="A28" s="2"/>
      <c r="D28" s="2"/>
      <c r="E28" s="50"/>
      <c r="F28" s="50"/>
    </row>
    <row r="29" spans="1:6" x14ac:dyDescent="0.35">
      <c r="A29" s="2"/>
      <c r="D29" s="2"/>
      <c r="E29" s="50"/>
      <c r="F29" s="50"/>
    </row>
    <row r="30" spans="1:6" x14ac:dyDescent="0.35">
      <c r="A30" s="2"/>
      <c r="D30" s="2"/>
      <c r="E30" s="50"/>
      <c r="F30" s="50"/>
    </row>
    <row r="31" spans="1:6" x14ac:dyDescent="0.35">
      <c r="A31" s="2"/>
      <c r="D31" s="2"/>
      <c r="E31" s="50"/>
      <c r="F31" s="50"/>
    </row>
    <row r="32" spans="1:6" x14ac:dyDescent="0.35">
      <c r="A32" s="2"/>
      <c r="D32" s="2"/>
      <c r="E32" s="50"/>
      <c r="F32" s="50"/>
    </row>
    <row r="33" spans="1:6" x14ac:dyDescent="0.35">
      <c r="A33" s="2"/>
      <c r="D33" s="2"/>
      <c r="E33" s="50"/>
      <c r="F33" s="50"/>
    </row>
    <row r="34" spans="1:6" x14ac:dyDescent="0.35">
      <c r="A34" s="2"/>
      <c r="D34" s="2"/>
      <c r="E34" s="50"/>
      <c r="F34" s="50"/>
    </row>
    <row r="35" spans="1:6" x14ac:dyDescent="0.35">
      <c r="A35" s="2"/>
      <c r="D35" s="2"/>
      <c r="E35" s="50"/>
      <c r="F35" s="50"/>
    </row>
    <row r="36" spans="1:6" x14ac:dyDescent="0.35">
      <c r="A36" s="2"/>
      <c r="D36" s="2"/>
      <c r="E36" s="50"/>
      <c r="F36" s="50"/>
    </row>
    <row r="37" spans="1:6" x14ac:dyDescent="0.35">
      <c r="A37" s="2"/>
      <c r="D37" s="2"/>
      <c r="E37" s="50"/>
      <c r="F37" s="50"/>
    </row>
    <row r="38" spans="1:6" x14ac:dyDescent="0.35">
      <c r="D38" s="2"/>
      <c r="E38" s="50"/>
      <c r="F38" s="50"/>
    </row>
    <row r="39" spans="1:6" x14ac:dyDescent="0.35">
      <c r="D39" s="2"/>
      <c r="E39" s="50"/>
      <c r="F39" s="50"/>
    </row>
    <row r="40" spans="1:6" x14ac:dyDescent="0.35">
      <c r="D40" s="2"/>
      <c r="E40" s="50"/>
      <c r="F40" s="50"/>
    </row>
    <row r="41" spans="1:6" x14ac:dyDescent="0.35">
      <c r="D41" s="2"/>
      <c r="E41" s="50"/>
      <c r="F41" s="50"/>
    </row>
    <row r="42" spans="1:6" x14ac:dyDescent="0.35">
      <c r="D42" s="2"/>
      <c r="E42" s="50"/>
      <c r="F42" s="50"/>
    </row>
    <row r="43" spans="1:6" x14ac:dyDescent="0.35">
      <c r="D43" s="2"/>
      <c r="E43" s="50"/>
      <c r="F43" s="50"/>
    </row>
    <row r="44" spans="1:6" x14ac:dyDescent="0.35">
      <c r="D44" s="2"/>
      <c r="E44" s="50"/>
      <c r="F44" s="50"/>
    </row>
    <row r="45" spans="1:6" x14ac:dyDescent="0.35">
      <c r="E45" s="50"/>
      <c r="F45" s="50"/>
    </row>
    <row r="46" spans="1:6" x14ac:dyDescent="0.35">
      <c r="E46" s="50"/>
      <c r="F46" s="50"/>
    </row>
    <row r="47" spans="1:6" x14ac:dyDescent="0.35">
      <c r="E47" s="50"/>
      <c r="F47" s="50"/>
    </row>
    <row r="48" spans="1:6" x14ac:dyDescent="0.35">
      <c r="E48" s="50"/>
      <c r="F48" s="50"/>
    </row>
    <row r="49" spans="5:6" x14ac:dyDescent="0.35">
      <c r="E49" s="50"/>
      <c r="F49" s="50"/>
    </row>
    <row r="50" spans="5:6" x14ac:dyDescent="0.35">
      <c r="E50" s="50"/>
      <c r="F50" s="50"/>
    </row>
    <row r="51" spans="5:6" x14ac:dyDescent="0.35">
      <c r="E51" s="50"/>
      <c r="F51" s="50"/>
    </row>
    <row r="52" spans="5:6" x14ac:dyDescent="0.35">
      <c r="E52" s="50"/>
      <c r="F52" s="50"/>
    </row>
    <row r="53" spans="5:6" x14ac:dyDescent="0.35">
      <c r="E53" s="50"/>
      <c r="F53" s="50"/>
    </row>
    <row r="54" spans="5:6" x14ac:dyDescent="0.35">
      <c r="E54" s="50"/>
      <c r="F54" s="50"/>
    </row>
    <row r="55" spans="5:6" x14ac:dyDescent="0.35">
      <c r="E55" s="50"/>
      <c r="F55" s="50"/>
    </row>
    <row r="56" spans="5:6" x14ac:dyDescent="0.35">
      <c r="E56" s="50"/>
      <c r="F56" s="50"/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25"/>
  <sheetViews>
    <sheetView workbookViewId="0">
      <selection activeCell="B3" sqref="B3:B23"/>
    </sheetView>
  </sheetViews>
  <sheetFormatPr defaultRowHeight="14.5" x14ac:dyDescent="0.35"/>
  <cols>
    <col min="1" max="1" width="7.1796875" bestFit="1" customWidth="1"/>
    <col min="2" max="2" width="16.7265625" customWidth="1"/>
    <col min="3" max="4" width="14.1796875" bestFit="1" customWidth="1"/>
    <col min="6" max="6" width="30.81640625" customWidth="1"/>
    <col min="7" max="7" width="8" bestFit="1" customWidth="1"/>
    <col min="8" max="8" width="17" bestFit="1" customWidth="1"/>
    <col min="9" max="9" width="34.81640625" bestFit="1" customWidth="1"/>
    <col min="13" max="13" width="17.54296875" customWidth="1"/>
  </cols>
  <sheetData>
    <row r="1" spans="1:14" ht="18.5" x14ac:dyDescent="0.45">
      <c r="A1" s="119" t="s">
        <v>17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</row>
    <row r="2" spans="1:14" x14ac:dyDescent="0.35">
      <c r="A2" s="14" t="s">
        <v>18</v>
      </c>
      <c r="B2" s="14" t="s">
        <v>19</v>
      </c>
      <c r="C2" s="14" t="s">
        <v>20</v>
      </c>
      <c r="D2" s="14" t="s">
        <v>21</v>
      </c>
      <c r="E2" s="14" t="s">
        <v>22</v>
      </c>
      <c r="F2" s="14" t="s">
        <v>23</v>
      </c>
      <c r="G2" s="14" t="s">
        <v>24</v>
      </c>
      <c r="H2" s="14" t="s">
        <v>25</v>
      </c>
      <c r="I2" s="14" t="s">
        <v>26</v>
      </c>
      <c r="J2" s="14" t="s">
        <v>27</v>
      </c>
      <c r="K2" s="14" t="s">
        <v>28</v>
      </c>
      <c r="L2" s="14" t="s">
        <v>29</v>
      </c>
      <c r="M2" s="14" t="s">
        <v>30</v>
      </c>
    </row>
    <row r="3" spans="1:14" x14ac:dyDescent="0.35">
      <c r="A3" s="15">
        <v>3</v>
      </c>
      <c r="B3" s="16" t="s">
        <v>155</v>
      </c>
      <c r="C3" s="16">
        <v>4899654523</v>
      </c>
      <c r="D3" s="16">
        <v>6716399474.6181803</v>
      </c>
      <c r="E3" s="16" t="s">
        <v>6</v>
      </c>
      <c r="F3" s="17" t="s">
        <v>156</v>
      </c>
      <c r="G3" s="16" t="s">
        <v>34</v>
      </c>
      <c r="H3" s="17" t="s">
        <v>35</v>
      </c>
      <c r="I3" s="16" t="s">
        <v>157</v>
      </c>
      <c r="J3" s="16" t="s">
        <v>158</v>
      </c>
      <c r="K3" s="16" t="s">
        <v>159</v>
      </c>
      <c r="L3" s="16">
        <v>51450</v>
      </c>
      <c r="M3" s="16" t="s">
        <v>160</v>
      </c>
      <c r="N3" s="16" t="s">
        <v>40</v>
      </c>
    </row>
    <row r="4" spans="1:14" x14ac:dyDescent="0.35">
      <c r="A4" s="15">
        <v>4</v>
      </c>
      <c r="B4" s="16" t="s">
        <v>31</v>
      </c>
      <c r="C4" s="16">
        <v>3286147299</v>
      </c>
      <c r="D4" s="16">
        <v>4998430876</v>
      </c>
      <c r="E4" s="16" t="s">
        <v>32</v>
      </c>
      <c r="F4" s="17" t="s">
        <v>33</v>
      </c>
      <c r="G4" s="16" t="s">
        <v>34</v>
      </c>
      <c r="H4" s="17" t="s">
        <v>35</v>
      </c>
      <c r="I4" s="16" t="s">
        <v>36</v>
      </c>
      <c r="J4" s="16" t="s">
        <v>37</v>
      </c>
      <c r="K4" s="15" t="s">
        <v>38</v>
      </c>
      <c r="L4" s="15">
        <v>43119</v>
      </c>
      <c r="M4" s="16" t="s">
        <v>39</v>
      </c>
      <c r="N4" s="16" t="s">
        <v>40</v>
      </c>
    </row>
    <row r="5" spans="1:14" x14ac:dyDescent="0.35">
      <c r="A5" s="15">
        <v>5</v>
      </c>
      <c r="B5" s="16" t="s">
        <v>59</v>
      </c>
      <c r="C5" s="16">
        <v>3617832508</v>
      </c>
      <c r="D5" s="16">
        <v>5468911666</v>
      </c>
      <c r="E5" s="16" t="s">
        <v>42</v>
      </c>
      <c r="F5" s="17" t="s">
        <v>60</v>
      </c>
      <c r="G5" s="16" t="s">
        <v>34</v>
      </c>
      <c r="H5" s="17" t="s">
        <v>35</v>
      </c>
      <c r="I5" s="16" t="s">
        <v>61</v>
      </c>
      <c r="J5" s="16" t="s">
        <v>62</v>
      </c>
      <c r="K5" s="15" t="s">
        <v>63</v>
      </c>
      <c r="L5" s="15">
        <v>53512</v>
      </c>
      <c r="M5" s="16" t="s">
        <v>64</v>
      </c>
      <c r="N5" s="16" t="s">
        <v>40</v>
      </c>
    </row>
    <row r="6" spans="1:14" x14ac:dyDescent="0.35">
      <c r="A6" s="15">
        <v>6</v>
      </c>
      <c r="B6" s="16" t="s">
        <v>149</v>
      </c>
      <c r="C6" s="16">
        <v>4851929101</v>
      </c>
      <c r="D6" s="16">
        <v>6634252695.6000004</v>
      </c>
      <c r="E6" s="16" t="s">
        <v>42</v>
      </c>
      <c r="F6" s="17" t="s">
        <v>150</v>
      </c>
      <c r="G6" s="16" t="s">
        <v>34</v>
      </c>
      <c r="H6" s="17" t="s">
        <v>35</v>
      </c>
      <c r="I6" s="16" t="s">
        <v>151</v>
      </c>
      <c r="J6" s="16" t="s">
        <v>152</v>
      </c>
      <c r="K6" s="15" t="s">
        <v>153</v>
      </c>
      <c r="L6" s="15">
        <v>47088</v>
      </c>
      <c r="M6" s="16" t="s">
        <v>154</v>
      </c>
      <c r="N6" s="16" t="s">
        <v>40</v>
      </c>
    </row>
    <row r="7" spans="1:14" x14ac:dyDescent="0.35">
      <c r="A7" s="15">
        <v>7</v>
      </c>
      <c r="B7" s="16" t="s">
        <v>41</v>
      </c>
      <c r="C7" s="16">
        <v>3455894869</v>
      </c>
      <c r="D7" s="16">
        <v>5226387591</v>
      </c>
      <c r="E7" s="16" t="s">
        <v>42</v>
      </c>
      <c r="F7" s="17" t="s">
        <v>43</v>
      </c>
      <c r="G7" s="16" t="s">
        <v>34</v>
      </c>
      <c r="H7" s="17" t="s">
        <v>35</v>
      </c>
      <c r="I7" s="16" t="s">
        <v>44</v>
      </c>
      <c r="J7" s="16" t="s">
        <v>45</v>
      </c>
      <c r="K7" s="15" t="s">
        <v>46</v>
      </c>
      <c r="L7" s="15">
        <v>59900</v>
      </c>
      <c r="M7" s="16" t="s">
        <v>47</v>
      </c>
      <c r="N7" s="16" t="s">
        <v>40</v>
      </c>
    </row>
    <row r="8" spans="1:14" x14ac:dyDescent="0.35">
      <c r="A8" s="15">
        <v>8</v>
      </c>
      <c r="B8" s="16" t="s">
        <v>54</v>
      </c>
      <c r="C8" s="16">
        <v>3497730067</v>
      </c>
      <c r="D8" s="16">
        <v>5358659080</v>
      </c>
      <c r="E8" s="16" t="s">
        <v>32</v>
      </c>
      <c r="F8" s="17" t="s">
        <v>55</v>
      </c>
      <c r="G8" s="16" t="s">
        <v>34</v>
      </c>
      <c r="H8" s="17" t="s">
        <v>35</v>
      </c>
      <c r="I8" s="16" t="s">
        <v>56</v>
      </c>
      <c r="J8" s="16" t="s">
        <v>57</v>
      </c>
      <c r="K8" s="15" t="s">
        <v>52</v>
      </c>
      <c r="L8" s="15">
        <v>43779</v>
      </c>
      <c r="M8" s="16" t="s">
        <v>58</v>
      </c>
      <c r="N8" s="16" t="s">
        <v>40</v>
      </c>
    </row>
    <row r="9" spans="1:14" x14ac:dyDescent="0.35">
      <c r="A9" s="15">
        <v>9</v>
      </c>
      <c r="B9" s="16" t="s">
        <v>95</v>
      </c>
      <c r="C9" s="16">
        <v>4284573915</v>
      </c>
      <c r="D9" s="16">
        <v>5894931684.4363604</v>
      </c>
      <c r="E9" s="16" t="s">
        <v>42</v>
      </c>
      <c r="F9" s="17" t="s">
        <v>96</v>
      </c>
      <c r="G9" s="16" t="s">
        <v>34</v>
      </c>
      <c r="H9" s="17" t="s">
        <v>35</v>
      </c>
      <c r="I9" s="16" t="s">
        <v>97</v>
      </c>
      <c r="J9" s="16" t="s">
        <v>98</v>
      </c>
      <c r="K9" s="15" t="s">
        <v>99</v>
      </c>
      <c r="L9" s="15">
        <v>35341</v>
      </c>
      <c r="M9" s="16" t="s">
        <v>100</v>
      </c>
      <c r="N9" s="16" t="s">
        <v>40</v>
      </c>
    </row>
    <row r="10" spans="1:14" x14ac:dyDescent="0.35">
      <c r="A10" s="15">
        <v>10</v>
      </c>
      <c r="B10" s="16" t="s">
        <v>89</v>
      </c>
      <c r="C10" s="16">
        <v>4105775808</v>
      </c>
      <c r="D10" s="16">
        <v>5812784905.4181805</v>
      </c>
      <c r="E10" s="16" t="s">
        <v>32</v>
      </c>
      <c r="F10" s="17" t="s">
        <v>90</v>
      </c>
      <c r="G10" s="16" t="s">
        <v>34</v>
      </c>
      <c r="H10" s="17" t="s">
        <v>35</v>
      </c>
      <c r="I10" s="16" t="s">
        <v>91</v>
      </c>
      <c r="J10" s="16" t="s">
        <v>92</v>
      </c>
      <c r="K10" s="15" t="s">
        <v>93</v>
      </c>
      <c r="L10" s="15">
        <v>99760</v>
      </c>
      <c r="M10" s="16" t="s">
        <v>94</v>
      </c>
      <c r="N10" s="16" t="s">
        <v>40</v>
      </c>
    </row>
    <row r="11" spans="1:14" x14ac:dyDescent="0.35">
      <c r="A11" s="15">
        <v>11</v>
      </c>
      <c r="B11" s="16" t="s">
        <v>125</v>
      </c>
      <c r="C11" s="16">
        <v>4401926418</v>
      </c>
      <c r="D11" s="16">
        <v>6305665579.5272703</v>
      </c>
      <c r="E11" s="16" t="s">
        <v>32</v>
      </c>
      <c r="F11" s="17" t="s">
        <v>126</v>
      </c>
      <c r="G11" s="16" t="s">
        <v>34</v>
      </c>
      <c r="H11" s="17" t="s">
        <v>35</v>
      </c>
      <c r="I11" s="16" t="s">
        <v>127</v>
      </c>
      <c r="J11" s="16" t="s">
        <v>128</v>
      </c>
      <c r="K11" s="15" t="s">
        <v>129</v>
      </c>
      <c r="L11" s="15">
        <v>18065</v>
      </c>
      <c r="M11" s="16" t="s">
        <v>130</v>
      </c>
      <c r="N11" s="16" t="s">
        <v>40</v>
      </c>
    </row>
    <row r="12" spans="1:14" x14ac:dyDescent="0.35">
      <c r="A12" s="15">
        <v>12</v>
      </c>
      <c r="B12" s="16" t="s">
        <v>78</v>
      </c>
      <c r="C12" s="16">
        <v>3767682976</v>
      </c>
      <c r="D12" s="16">
        <v>5637544366</v>
      </c>
      <c r="E12" s="16" t="s">
        <v>42</v>
      </c>
      <c r="F12" s="17" t="s">
        <v>79</v>
      </c>
      <c r="G12" s="16" t="s">
        <v>34</v>
      </c>
      <c r="H12" s="17" t="s">
        <v>35</v>
      </c>
      <c r="I12" s="16" t="s">
        <v>80</v>
      </c>
      <c r="J12" s="16" t="s">
        <v>81</v>
      </c>
      <c r="K12" s="15" t="s">
        <v>82</v>
      </c>
      <c r="L12" s="15">
        <v>96702</v>
      </c>
      <c r="M12" s="16" t="s">
        <v>83</v>
      </c>
      <c r="N12" s="16" t="s">
        <v>40</v>
      </c>
    </row>
    <row r="13" spans="1:14" x14ac:dyDescent="0.35">
      <c r="A13" s="15">
        <v>13</v>
      </c>
      <c r="B13" s="16" t="s">
        <v>137</v>
      </c>
      <c r="C13" s="16">
        <v>4705151637</v>
      </c>
      <c r="D13" s="16">
        <v>6469959137.5636396</v>
      </c>
      <c r="E13" s="16" t="s">
        <v>6</v>
      </c>
      <c r="F13" s="17" t="s">
        <v>138</v>
      </c>
      <c r="G13" s="16" t="s">
        <v>34</v>
      </c>
      <c r="H13" s="17" t="s">
        <v>35</v>
      </c>
      <c r="I13" s="16" t="s">
        <v>139</v>
      </c>
      <c r="J13" s="16" t="s">
        <v>140</v>
      </c>
      <c r="K13" s="15" t="s">
        <v>141</v>
      </c>
      <c r="L13" s="15">
        <v>78200</v>
      </c>
      <c r="M13" s="16" t="s">
        <v>142</v>
      </c>
      <c r="N13" s="16" t="s">
        <v>40</v>
      </c>
    </row>
    <row r="14" spans="1:14" x14ac:dyDescent="0.35">
      <c r="A14" s="15">
        <v>14</v>
      </c>
      <c r="B14" s="16" t="s">
        <v>65</v>
      </c>
      <c r="C14" s="16">
        <v>3652218440</v>
      </c>
      <c r="D14" s="16">
        <v>5470395000</v>
      </c>
      <c r="E14" s="16" t="s">
        <v>6</v>
      </c>
      <c r="F14" s="17" t="s">
        <v>66</v>
      </c>
      <c r="G14" s="16" t="s">
        <v>34</v>
      </c>
      <c r="H14" s="17" t="s">
        <v>35</v>
      </c>
      <c r="I14" s="16" t="s">
        <v>67</v>
      </c>
      <c r="J14" s="16" t="s">
        <v>68</v>
      </c>
      <c r="K14" s="15" t="s">
        <v>69</v>
      </c>
      <c r="L14" s="15">
        <v>94940</v>
      </c>
      <c r="M14" s="16" t="s">
        <v>70</v>
      </c>
      <c r="N14" s="16" t="s">
        <v>40</v>
      </c>
    </row>
    <row r="15" spans="1:14" x14ac:dyDescent="0.35">
      <c r="A15" s="15">
        <v>15</v>
      </c>
      <c r="B15" s="16" t="s">
        <v>101</v>
      </c>
      <c r="C15" s="16">
        <v>4300830272</v>
      </c>
      <c r="D15" s="16">
        <v>5977078463.4545403</v>
      </c>
      <c r="E15" s="16" t="s">
        <v>6</v>
      </c>
      <c r="F15" s="17" t="s">
        <v>102</v>
      </c>
      <c r="G15" s="16" t="s">
        <v>34</v>
      </c>
      <c r="H15" s="17" t="s">
        <v>35</v>
      </c>
      <c r="I15" s="16" t="s">
        <v>103</v>
      </c>
      <c r="J15" s="16" t="s">
        <v>104</v>
      </c>
      <c r="K15" s="15" t="s">
        <v>105</v>
      </c>
      <c r="L15" s="15">
        <v>69816</v>
      </c>
      <c r="M15" s="16" t="s">
        <v>106</v>
      </c>
      <c r="N15" s="16" t="s">
        <v>40</v>
      </c>
    </row>
    <row r="16" spans="1:14" x14ac:dyDescent="0.35">
      <c r="A16" s="15">
        <v>16</v>
      </c>
      <c r="B16" s="16" t="s">
        <v>71</v>
      </c>
      <c r="C16" s="16">
        <v>3656677181</v>
      </c>
      <c r="D16" s="16">
        <v>5510378448</v>
      </c>
      <c r="E16" s="16" t="s">
        <v>32</v>
      </c>
      <c r="F16" s="17" t="s">
        <v>72</v>
      </c>
      <c r="G16" s="16" t="s">
        <v>73</v>
      </c>
      <c r="H16" s="17" t="s">
        <v>35</v>
      </c>
      <c r="I16" s="16" t="s">
        <v>74</v>
      </c>
      <c r="J16" s="16" t="s">
        <v>75</v>
      </c>
      <c r="K16" s="15" t="s">
        <v>76</v>
      </c>
      <c r="L16" s="15">
        <v>61338</v>
      </c>
      <c r="M16" s="16" t="s">
        <v>77</v>
      </c>
      <c r="N16" s="16" t="s">
        <v>40</v>
      </c>
    </row>
    <row r="17" spans="1:14" x14ac:dyDescent="0.35">
      <c r="A17" s="15">
        <v>17</v>
      </c>
      <c r="B17" s="16" t="s">
        <v>131</v>
      </c>
      <c r="C17" s="16">
        <v>4460231480</v>
      </c>
      <c r="D17" s="16">
        <v>6387812358.5454502</v>
      </c>
      <c r="E17" s="16" t="s">
        <v>42</v>
      </c>
      <c r="F17" s="17" t="s">
        <v>132</v>
      </c>
      <c r="G17" s="16" t="s">
        <v>34</v>
      </c>
      <c r="H17" s="17" t="s">
        <v>35</v>
      </c>
      <c r="I17" s="16" t="s">
        <v>133</v>
      </c>
      <c r="J17" s="16" t="s">
        <v>134</v>
      </c>
      <c r="K17" s="15" t="s">
        <v>135</v>
      </c>
      <c r="L17" s="15">
        <v>39456</v>
      </c>
      <c r="M17" s="16" t="s">
        <v>136</v>
      </c>
      <c r="N17" s="16" t="s">
        <v>40</v>
      </c>
    </row>
    <row r="18" spans="1:14" x14ac:dyDescent="0.35">
      <c r="A18" s="15">
        <v>18</v>
      </c>
      <c r="B18" s="16" t="s">
        <v>143</v>
      </c>
      <c r="C18" s="16">
        <v>4739438696</v>
      </c>
      <c r="D18" s="16">
        <v>6552105916.5818195</v>
      </c>
      <c r="E18" s="16" t="s">
        <v>32</v>
      </c>
      <c r="F18" s="17" t="s">
        <v>144</v>
      </c>
      <c r="G18" s="16" t="s">
        <v>34</v>
      </c>
      <c r="H18" s="17" t="s">
        <v>35</v>
      </c>
      <c r="I18" s="16" t="s">
        <v>145</v>
      </c>
      <c r="J18" s="16" t="s">
        <v>146</v>
      </c>
      <c r="K18" s="15" t="s">
        <v>147</v>
      </c>
      <c r="L18" s="15">
        <v>25505</v>
      </c>
      <c r="M18" s="16" t="s">
        <v>148</v>
      </c>
      <c r="N18" s="16" t="s">
        <v>40</v>
      </c>
    </row>
    <row r="19" spans="1:14" x14ac:dyDescent="0.35">
      <c r="A19" s="15">
        <v>19</v>
      </c>
      <c r="B19" s="16" t="s">
        <v>84</v>
      </c>
      <c r="C19" s="16">
        <v>4060442480</v>
      </c>
      <c r="D19" s="16">
        <v>5730638126.3999996</v>
      </c>
      <c r="E19" s="16" t="s">
        <v>6</v>
      </c>
      <c r="F19" s="17" t="s">
        <v>85</v>
      </c>
      <c r="G19" s="16" t="s">
        <v>34</v>
      </c>
      <c r="H19" s="17" t="s">
        <v>35</v>
      </c>
      <c r="I19" s="16" t="s">
        <v>86</v>
      </c>
      <c r="J19" s="16" t="s">
        <v>87</v>
      </c>
      <c r="K19" s="15" t="s">
        <v>45</v>
      </c>
      <c r="L19" s="15">
        <v>89637</v>
      </c>
      <c r="M19" s="16" t="s">
        <v>88</v>
      </c>
      <c r="N19" s="16" t="s">
        <v>40</v>
      </c>
    </row>
    <row r="20" spans="1:14" x14ac:dyDescent="0.35">
      <c r="A20" s="15">
        <v>20</v>
      </c>
      <c r="B20" s="16" t="s">
        <v>48</v>
      </c>
      <c r="C20" s="16">
        <v>3488520913</v>
      </c>
      <c r="D20" s="16">
        <v>5238693304</v>
      </c>
      <c r="E20" s="16" t="s">
        <v>6</v>
      </c>
      <c r="F20" s="17" t="s">
        <v>49</v>
      </c>
      <c r="G20" s="16" t="s">
        <v>34</v>
      </c>
      <c r="H20" s="17" t="s">
        <v>35</v>
      </c>
      <c r="I20" s="16" t="s">
        <v>50</v>
      </c>
      <c r="J20" s="16" t="s">
        <v>51</v>
      </c>
      <c r="K20" s="15" t="s">
        <v>52</v>
      </c>
      <c r="L20" s="15">
        <v>59677</v>
      </c>
      <c r="M20" s="16" t="s">
        <v>53</v>
      </c>
      <c r="N20" s="16" t="s">
        <v>40</v>
      </c>
    </row>
    <row r="21" spans="1:14" x14ac:dyDescent="0.35">
      <c r="A21" s="15">
        <v>21</v>
      </c>
      <c r="B21" s="16" t="s">
        <v>113</v>
      </c>
      <c r="C21" s="16">
        <v>4333250839</v>
      </c>
      <c r="D21" s="16">
        <v>6141372021.4909096</v>
      </c>
      <c r="E21" s="16" t="s">
        <v>42</v>
      </c>
      <c r="F21" s="17" t="s">
        <v>114</v>
      </c>
      <c r="G21" s="16" t="s">
        <v>34</v>
      </c>
      <c r="H21" s="17" t="s">
        <v>35</v>
      </c>
      <c r="I21" s="16" t="s">
        <v>115</v>
      </c>
      <c r="J21" s="16" t="s">
        <v>116</v>
      </c>
      <c r="K21" s="15" t="s">
        <v>117</v>
      </c>
      <c r="L21" s="15">
        <v>95515</v>
      </c>
      <c r="M21" s="16" t="s">
        <v>118</v>
      </c>
      <c r="N21" s="16" t="s">
        <v>40</v>
      </c>
    </row>
    <row r="22" spans="1:14" x14ac:dyDescent="0.35">
      <c r="A22" s="15">
        <v>22</v>
      </c>
      <c r="B22" s="16" t="s">
        <v>119</v>
      </c>
      <c r="C22" s="16">
        <v>4385915727</v>
      </c>
      <c r="D22" s="16">
        <v>6223518800.5090904</v>
      </c>
      <c r="E22" s="16" t="s">
        <v>6</v>
      </c>
      <c r="F22" s="17" t="s">
        <v>120</v>
      </c>
      <c r="G22" s="16" t="s">
        <v>34</v>
      </c>
      <c r="H22" s="17" t="s">
        <v>35</v>
      </c>
      <c r="I22" s="16" t="s">
        <v>121</v>
      </c>
      <c r="J22" s="16" t="s">
        <v>122</v>
      </c>
      <c r="K22" s="15" t="s">
        <v>123</v>
      </c>
      <c r="L22" s="15">
        <v>75119</v>
      </c>
      <c r="M22" s="16" t="s">
        <v>124</v>
      </c>
      <c r="N22" s="16" t="s">
        <v>40</v>
      </c>
    </row>
    <row r="23" spans="1:14" x14ac:dyDescent="0.35">
      <c r="A23" s="15">
        <v>23</v>
      </c>
      <c r="B23" s="16" t="s">
        <v>107</v>
      </c>
      <c r="C23" s="16">
        <v>4318645808</v>
      </c>
      <c r="D23" s="16">
        <v>6059225242.4727297</v>
      </c>
      <c r="E23" s="16" t="s">
        <v>32</v>
      </c>
      <c r="F23" s="17" t="s">
        <v>108</v>
      </c>
      <c r="G23" s="16" t="s">
        <v>73</v>
      </c>
      <c r="H23" s="17" t="s">
        <v>35</v>
      </c>
      <c r="I23" s="16" t="s">
        <v>109</v>
      </c>
      <c r="J23" s="16" t="s">
        <v>110</v>
      </c>
      <c r="K23" s="15" t="s">
        <v>111</v>
      </c>
      <c r="L23" s="15">
        <v>57439</v>
      </c>
      <c r="M23" s="16" t="s">
        <v>112</v>
      </c>
      <c r="N23" s="16" t="s">
        <v>40</v>
      </c>
    </row>
    <row r="24" spans="1:14" x14ac:dyDescent="0.35">
      <c r="F24" s="18"/>
    </row>
    <row r="25" spans="1:14" x14ac:dyDescent="0.35">
      <c r="F25" s="18"/>
    </row>
  </sheetData>
  <sortState xmlns:xlrd2="http://schemas.microsoft.com/office/spreadsheetml/2017/richdata2" ref="B3:M23">
    <sortCondition ref="B3"/>
  </sortState>
  <mergeCells count="1">
    <mergeCell ref="A1:M1"/>
  </mergeCells>
  <conditionalFormatting sqref="A3:M23">
    <cfRule type="expression" dxfId="1" priority="1">
      <formula>MOD(ROW(),2)=0</formula>
    </cfRule>
  </conditionalFormatting>
  <hyperlinks>
    <hyperlink ref="F20" r:id="rId1" xr:uid="{00000000-0004-0000-0600-000000000000}"/>
    <hyperlink ref="F8" r:id="rId2" xr:uid="{00000000-0004-0000-0600-000001000000}"/>
    <hyperlink ref="F3" r:id="rId3" xr:uid="{00000000-0004-0000-0600-000002000000}"/>
    <hyperlink ref="F22" r:id="rId4" xr:uid="{00000000-0004-0000-0600-000003000000}"/>
    <hyperlink ref="F14" r:id="rId5" xr:uid="{00000000-0004-0000-0600-000004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F60"/>
  <sheetViews>
    <sheetView workbookViewId="0">
      <selection activeCell="A29" sqref="A29"/>
    </sheetView>
  </sheetViews>
  <sheetFormatPr defaultRowHeight="14.5" x14ac:dyDescent="0.35"/>
  <cols>
    <col min="1" max="1" width="23.453125" bestFit="1" customWidth="1"/>
    <col min="2" max="2" width="28.54296875" bestFit="1" customWidth="1"/>
    <col min="3" max="3" width="11.1796875" bestFit="1" customWidth="1"/>
    <col min="4" max="4" width="12.1796875" bestFit="1" customWidth="1"/>
    <col min="5" max="5" width="10.1796875" bestFit="1" customWidth="1"/>
    <col min="6" max="6" width="28.54296875" bestFit="1" customWidth="1"/>
    <col min="8" max="8" width="18.26953125" bestFit="1" customWidth="1"/>
    <col min="9" max="9" width="12.26953125" customWidth="1"/>
  </cols>
  <sheetData>
    <row r="1" spans="1:32" ht="15.5" x14ac:dyDescent="0.35">
      <c r="A1" s="120" t="s">
        <v>176</v>
      </c>
      <c r="B1" s="120"/>
      <c r="C1" s="120"/>
      <c r="D1" s="120"/>
      <c r="E1" s="120"/>
    </row>
    <row r="2" spans="1:32" x14ac:dyDescent="0.35">
      <c r="A2" s="19" t="s">
        <v>177</v>
      </c>
      <c r="B2" s="19" t="s">
        <v>178</v>
      </c>
      <c r="C2" s="19" t="s">
        <v>162</v>
      </c>
      <c r="D2" s="20" t="s">
        <v>175</v>
      </c>
      <c r="E2" s="26" t="s">
        <v>161</v>
      </c>
      <c r="H2" s="105" t="s">
        <v>177</v>
      </c>
      <c r="I2" s="105" t="s">
        <v>232</v>
      </c>
      <c r="J2" s="105" t="s">
        <v>233</v>
      </c>
      <c r="K2" s="105" t="s">
        <v>234</v>
      </c>
    </row>
    <row r="3" spans="1:32" x14ac:dyDescent="0.35">
      <c r="A3" s="21" t="s">
        <v>168</v>
      </c>
      <c r="B3" s="21" t="s">
        <v>168</v>
      </c>
      <c r="C3" s="21">
        <v>24</v>
      </c>
      <c r="D3" s="23">
        <v>22</v>
      </c>
      <c r="E3" s="27">
        <v>27</v>
      </c>
      <c r="H3" s="106" t="s">
        <v>168</v>
      </c>
      <c r="I3" s="106">
        <f t="shared" ref="I3:I34" ca="1" si="0">IF(H3=""," ",SUMIF(Purch_ItemName,H3,Purch_ItemQty))</f>
        <v>48</v>
      </c>
      <c r="J3" s="106">
        <f t="shared" ref="J3:J34" ca="1" si="1">IF(H3=""," ",SUMIF(Inv_ItemName,H3,Inv_ItemQty))</f>
        <v>0</v>
      </c>
      <c r="K3" s="106">
        <f ca="1">IF(H3="","",I3-J3)</f>
        <v>48</v>
      </c>
    </row>
    <row r="4" spans="1:32" x14ac:dyDescent="0.35">
      <c r="A4" s="21" t="s">
        <v>173</v>
      </c>
      <c r="B4" s="21" t="s">
        <v>173</v>
      </c>
      <c r="C4" s="21">
        <v>24</v>
      </c>
      <c r="D4" s="23">
        <v>17</v>
      </c>
      <c r="E4" s="27">
        <v>22</v>
      </c>
      <c r="H4" s="106" t="s">
        <v>173</v>
      </c>
      <c r="I4" s="106">
        <f t="shared" ca="1" si="0"/>
        <v>0</v>
      </c>
      <c r="J4" s="106">
        <f t="shared" ca="1" si="1"/>
        <v>0</v>
      </c>
      <c r="K4" s="106">
        <f t="shared" ref="K4:K60" ca="1" si="2">IF(H4="","",I4-J4)</f>
        <v>0</v>
      </c>
      <c r="AC4" s="104"/>
      <c r="AD4" s="104"/>
      <c r="AE4" s="104"/>
      <c r="AF4" s="104"/>
    </row>
    <row r="5" spans="1:32" x14ac:dyDescent="0.35">
      <c r="A5" s="21" t="s">
        <v>216</v>
      </c>
      <c r="B5" s="21" t="s">
        <v>170</v>
      </c>
      <c r="C5" s="21">
        <v>12</v>
      </c>
      <c r="D5" s="23">
        <v>9</v>
      </c>
      <c r="E5" s="27">
        <v>14</v>
      </c>
      <c r="H5" s="106" t="s">
        <v>216</v>
      </c>
      <c r="I5" s="106">
        <f t="shared" ca="1" si="0"/>
        <v>5</v>
      </c>
      <c r="J5" s="106">
        <f t="shared" ca="1" si="1"/>
        <v>6</v>
      </c>
      <c r="K5" s="106">
        <f t="shared" ca="1" si="2"/>
        <v>-1</v>
      </c>
      <c r="AC5" s="104"/>
      <c r="AD5" s="104"/>
      <c r="AE5" s="104"/>
      <c r="AF5" s="104"/>
    </row>
    <row r="6" spans="1:32" x14ac:dyDescent="0.35">
      <c r="A6" s="21" t="s">
        <v>215</v>
      </c>
      <c r="B6" s="21" t="s">
        <v>169</v>
      </c>
      <c r="C6" s="21">
        <v>12</v>
      </c>
      <c r="D6" s="23">
        <v>11</v>
      </c>
      <c r="E6" s="27">
        <v>16</v>
      </c>
      <c r="H6" s="106" t="s">
        <v>215</v>
      </c>
      <c r="I6" s="106">
        <f t="shared" ca="1" si="0"/>
        <v>24</v>
      </c>
      <c r="J6" s="106">
        <f t="shared" ca="1" si="1"/>
        <v>6</v>
      </c>
      <c r="K6" s="106">
        <f t="shared" ca="1" si="2"/>
        <v>18</v>
      </c>
      <c r="AC6" s="104"/>
      <c r="AD6" s="104"/>
      <c r="AE6" s="104"/>
      <c r="AF6" s="104"/>
    </row>
    <row r="7" spans="1:32" x14ac:dyDescent="0.35">
      <c r="A7" s="21" t="s">
        <v>214</v>
      </c>
      <c r="B7" s="21" t="s">
        <v>167</v>
      </c>
      <c r="C7" s="21">
        <v>12</v>
      </c>
      <c r="D7" s="23">
        <v>14</v>
      </c>
      <c r="E7" s="27">
        <v>19</v>
      </c>
      <c r="H7" s="106" t="s">
        <v>214</v>
      </c>
      <c r="I7" s="106">
        <f t="shared" ca="1" si="0"/>
        <v>36</v>
      </c>
      <c r="J7" s="106">
        <f t="shared" ca="1" si="1"/>
        <v>9</v>
      </c>
      <c r="K7" s="106">
        <f t="shared" ca="1" si="2"/>
        <v>27</v>
      </c>
      <c r="AC7" s="104"/>
      <c r="AD7" s="104"/>
      <c r="AE7" s="104"/>
      <c r="AF7" s="104"/>
    </row>
    <row r="8" spans="1:32" x14ac:dyDescent="0.35">
      <c r="A8" s="21" t="s">
        <v>219</v>
      </c>
      <c r="B8" s="21" t="s">
        <v>174</v>
      </c>
      <c r="C8" s="21">
        <v>24</v>
      </c>
      <c r="D8" s="23">
        <v>16</v>
      </c>
      <c r="E8" s="27">
        <v>21</v>
      </c>
      <c r="H8" s="106" t="s">
        <v>219</v>
      </c>
      <c r="I8" s="106">
        <f t="shared" ca="1" si="0"/>
        <v>72</v>
      </c>
      <c r="J8" s="106">
        <f t="shared" ca="1" si="1"/>
        <v>2</v>
      </c>
      <c r="K8" s="106">
        <f t="shared" ca="1" si="2"/>
        <v>70</v>
      </c>
      <c r="AC8" s="104"/>
      <c r="AD8" s="104"/>
      <c r="AE8" s="104"/>
      <c r="AF8" s="104"/>
    </row>
    <row r="9" spans="1:32" x14ac:dyDescent="0.35">
      <c r="A9" s="21" t="s">
        <v>213</v>
      </c>
      <c r="B9" s="21" t="s">
        <v>166</v>
      </c>
      <c r="C9" s="21">
        <v>14</v>
      </c>
      <c r="D9" s="23">
        <v>17</v>
      </c>
      <c r="E9" s="27">
        <v>22</v>
      </c>
      <c r="H9" s="106" t="s">
        <v>213</v>
      </c>
      <c r="I9" s="106">
        <f t="shared" ca="1" si="0"/>
        <v>14</v>
      </c>
      <c r="J9" s="106">
        <f t="shared" ca="1" si="1"/>
        <v>1</v>
      </c>
      <c r="K9" s="106">
        <f t="shared" ca="1" si="2"/>
        <v>13</v>
      </c>
      <c r="AC9" s="104"/>
      <c r="AD9" s="104"/>
      <c r="AE9" s="104"/>
      <c r="AF9" s="104"/>
    </row>
    <row r="10" spans="1:32" x14ac:dyDescent="0.35">
      <c r="A10" s="21" t="s">
        <v>164</v>
      </c>
      <c r="B10" s="21" t="s">
        <v>164</v>
      </c>
      <c r="C10" s="21">
        <v>12</v>
      </c>
      <c r="D10" s="23">
        <v>5</v>
      </c>
      <c r="E10" s="27">
        <v>10</v>
      </c>
      <c r="H10" s="106" t="s">
        <v>164</v>
      </c>
      <c r="I10" s="106">
        <f t="shared" ca="1" si="0"/>
        <v>0</v>
      </c>
      <c r="J10" s="106">
        <f t="shared" ca="1" si="1"/>
        <v>0</v>
      </c>
      <c r="K10" s="106">
        <f t="shared" ca="1" si="2"/>
        <v>0</v>
      </c>
      <c r="AC10" s="104"/>
      <c r="AD10" s="104"/>
      <c r="AE10" s="104"/>
      <c r="AF10" s="104"/>
    </row>
    <row r="11" spans="1:32" x14ac:dyDescent="0.35">
      <c r="A11" s="21" t="s">
        <v>211</v>
      </c>
      <c r="B11" s="21" t="s">
        <v>163</v>
      </c>
      <c r="C11" s="21">
        <v>12</v>
      </c>
      <c r="D11" s="23">
        <v>10</v>
      </c>
      <c r="E11" s="27">
        <v>15</v>
      </c>
      <c r="H11" s="106" t="s">
        <v>211</v>
      </c>
      <c r="I11" s="106">
        <f t="shared" ca="1" si="0"/>
        <v>0</v>
      </c>
      <c r="J11" s="106">
        <f t="shared" ca="1" si="1"/>
        <v>0</v>
      </c>
      <c r="K11" s="106">
        <f t="shared" ca="1" si="2"/>
        <v>0</v>
      </c>
      <c r="AC11" s="104"/>
      <c r="AD11" s="104"/>
      <c r="AE11" s="104"/>
      <c r="AF11" s="104"/>
    </row>
    <row r="12" spans="1:32" x14ac:dyDescent="0.35">
      <c r="A12" s="21" t="s">
        <v>218</v>
      </c>
      <c r="B12" s="21" t="s">
        <v>172</v>
      </c>
      <c r="C12" s="21">
        <v>20</v>
      </c>
      <c r="D12" s="23">
        <v>16</v>
      </c>
      <c r="E12" s="27">
        <v>21</v>
      </c>
      <c r="H12" s="106" t="s">
        <v>218</v>
      </c>
      <c r="I12" s="106">
        <f t="shared" ca="1" si="0"/>
        <v>0</v>
      </c>
      <c r="J12" s="106">
        <f t="shared" ca="1" si="1"/>
        <v>0</v>
      </c>
      <c r="K12" s="106">
        <f t="shared" ca="1" si="2"/>
        <v>0</v>
      </c>
      <c r="AC12" s="104"/>
      <c r="AD12" s="104"/>
      <c r="AE12" s="104"/>
      <c r="AF12" s="104"/>
    </row>
    <row r="13" spans="1:32" x14ac:dyDescent="0.35">
      <c r="A13" s="21" t="s">
        <v>212</v>
      </c>
      <c r="B13" s="21" t="s">
        <v>165</v>
      </c>
      <c r="C13" s="21">
        <v>12</v>
      </c>
      <c r="D13" s="23">
        <v>10</v>
      </c>
      <c r="E13" s="27">
        <v>15</v>
      </c>
      <c r="H13" s="106" t="s">
        <v>212</v>
      </c>
      <c r="I13" s="106">
        <f t="shared" ca="1" si="0"/>
        <v>0</v>
      </c>
      <c r="J13" s="106">
        <f t="shared" ca="1" si="1"/>
        <v>0</v>
      </c>
      <c r="K13" s="106">
        <f t="shared" ca="1" si="2"/>
        <v>0</v>
      </c>
      <c r="AC13" s="104"/>
      <c r="AD13" s="104"/>
      <c r="AE13" s="104"/>
      <c r="AF13" s="104"/>
    </row>
    <row r="14" spans="1:32" x14ac:dyDescent="0.35">
      <c r="A14" s="21" t="s">
        <v>217</v>
      </c>
      <c r="B14" s="21" t="s">
        <v>171</v>
      </c>
      <c r="C14" s="21">
        <v>24</v>
      </c>
      <c r="D14" s="23">
        <v>9</v>
      </c>
      <c r="E14" s="27">
        <v>14</v>
      </c>
      <c r="H14" s="106" t="s">
        <v>217</v>
      </c>
      <c r="I14" s="106">
        <f t="shared" ca="1" si="0"/>
        <v>0</v>
      </c>
      <c r="J14" s="106">
        <f t="shared" ca="1" si="1"/>
        <v>0</v>
      </c>
      <c r="K14" s="106">
        <f t="shared" ca="1" si="2"/>
        <v>0</v>
      </c>
      <c r="AC14" s="104"/>
      <c r="AD14" s="104"/>
      <c r="AE14" s="104"/>
      <c r="AF14" s="104"/>
    </row>
    <row r="15" spans="1:32" x14ac:dyDescent="0.35">
      <c r="A15" s="21" t="s">
        <v>217</v>
      </c>
      <c r="B15" s="21" t="s">
        <v>171</v>
      </c>
      <c r="C15" s="21">
        <v>24</v>
      </c>
      <c r="D15" s="23">
        <v>9</v>
      </c>
      <c r="E15" s="27">
        <v>14</v>
      </c>
      <c r="H15" s="106" t="s">
        <v>217</v>
      </c>
      <c r="I15" s="106">
        <f t="shared" ca="1" si="0"/>
        <v>0</v>
      </c>
      <c r="J15" s="106">
        <f t="shared" ca="1" si="1"/>
        <v>0</v>
      </c>
      <c r="K15" s="106">
        <f t="shared" ca="1" si="2"/>
        <v>0</v>
      </c>
      <c r="AC15" s="104"/>
      <c r="AD15" s="104"/>
      <c r="AE15" s="104"/>
      <c r="AF15" s="104"/>
    </row>
    <row r="16" spans="1:32" x14ac:dyDescent="0.35">
      <c r="A16" s="21"/>
      <c r="B16" s="21"/>
      <c r="C16" s="21"/>
      <c r="D16" s="22"/>
      <c r="E16" s="27"/>
      <c r="I16" t="str">
        <f t="shared" si="0"/>
        <v xml:space="preserve"> </v>
      </c>
      <c r="J16" t="str">
        <f t="shared" si="1"/>
        <v xml:space="preserve"> </v>
      </c>
      <c r="K16" t="str">
        <f t="shared" si="2"/>
        <v/>
      </c>
    </row>
    <row r="17" spans="1:11" x14ac:dyDescent="0.35">
      <c r="A17" s="21"/>
      <c r="B17" s="21"/>
      <c r="C17" s="21"/>
      <c r="D17" s="23"/>
      <c r="E17" s="27"/>
      <c r="I17" t="str">
        <f t="shared" si="0"/>
        <v xml:space="preserve"> </v>
      </c>
      <c r="J17" t="str">
        <f t="shared" si="1"/>
        <v xml:space="preserve"> </v>
      </c>
      <c r="K17" t="str">
        <f t="shared" si="2"/>
        <v/>
      </c>
    </row>
    <row r="18" spans="1:11" x14ac:dyDescent="0.35">
      <c r="A18" s="21"/>
      <c r="B18" s="21"/>
      <c r="C18" s="21"/>
      <c r="D18" s="22"/>
      <c r="E18" s="27"/>
      <c r="I18" t="str">
        <f t="shared" si="0"/>
        <v xml:space="preserve"> </v>
      </c>
      <c r="J18" t="str">
        <f t="shared" si="1"/>
        <v xml:space="preserve"> </v>
      </c>
      <c r="K18" t="str">
        <f t="shared" si="2"/>
        <v/>
      </c>
    </row>
    <row r="19" spans="1:11" x14ac:dyDescent="0.35">
      <c r="A19" s="21"/>
      <c r="B19" s="21"/>
      <c r="C19" s="21"/>
      <c r="D19" s="23"/>
      <c r="E19" s="27"/>
      <c r="I19" t="str">
        <f t="shared" si="0"/>
        <v xml:space="preserve"> </v>
      </c>
      <c r="J19" t="str">
        <f t="shared" si="1"/>
        <v xml:space="preserve"> </v>
      </c>
      <c r="K19" t="str">
        <f t="shared" si="2"/>
        <v/>
      </c>
    </row>
    <row r="20" spans="1:11" x14ac:dyDescent="0.35">
      <c r="A20" s="21"/>
      <c r="B20" s="21"/>
      <c r="C20" s="21"/>
      <c r="D20" s="22"/>
      <c r="E20" s="27"/>
      <c r="I20" t="str">
        <f t="shared" si="0"/>
        <v xml:space="preserve"> </v>
      </c>
      <c r="J20" t="str">
        <f t="shared" si="1"/>
        <v xml:space="preserve"> </v>
      </c>
      <c r="K20" t="str">
        <f t="shared" si="2"/>
        <v/>
      </c>
    </row>
    <row r="21" spans="1:11" x14ac:dyDescent="0.35">
      <c r="A21" s="21"/>
      <c r="B21" s="21"/>
      <c r="C21" s="21"/>
      <c r="D21" s="22"/>
      <c r="E21" s="27"/>
      <c r="I21" t="str">
        <f t="shared" si="0"/>
        <v xml:space="preserve"> </v>
      </c>
      <c r="J21" t="str">
        <f t="shared" si="1"/>
        <v xml:space="preserve"> </v>
      </c>
      <c r="K21" t="str">
        <f t="shared" si="2"/>
        <v/>
      </c>
    </row>
    <row r="22" spans="1:11" x14ac:dyDescent="0.35">
      <c r="A22" s="21"/>
      <c r="B22" s="21"/>
      <c r="C22" s="21"/>
      <c r="D22" s="22"/>
      <c r="E22" s="27"/>
      <c r="I22" t="str">
        <f t="shared" si="0"/>
        <v xml:space="preserve"> </v>
      </c>
      <c r="J22" t="str">
        <f t="shared" si="1"/>
        <v xml:space="preserve"> </v>
      </c>
      <c r="K22" t="str">
        <f t="shared" si="2"/>
        <v/>
      </c>
    </row>
    <row r="23" spans="1:11" ht="15" thickBot="1" x14ac:dyDescent="0.4">
      <c r="A23" s="24"/>
      <c r="B23" s="24"/>
      <c r="C23" s="24"/>
      <c r="D23" s="25"/>
      <c r="E23" s="28"/>
      <c r="I23" t="str">
        <f t="shared" si="0"/>
        <v xml:space="preserve"> </v>
      </c>
      <c r="J23" t="str">
        <f t="shared" si="1"/>
        <v xml:space="preserve"> </v>
      </c>
      <c r="K23" t="str">
        <f t="shared" si="2"/>
        <v/>
      </c>
    </row>
    <row r="24" spans="1:11" x14ac:dyDescent="0.35">
      <c r="I24" t="str">
        <f t="shared" si="0"/>
        <v xml:space="preserve"> </v>
      </c>
      <c r="J24" t="str">
        <f t="shared" si="1"/>
        <v xml:space="preserve"> </v>
      </c>
      <c r="K24" t="str">
        <f t="shared" si="2"/>
        <v/>
      </c>
    </row>
    <row r="25" spans="1:11" x14ac:dyDescent="0.35">
      <c r="I25" t="str">
        <f t="shared" si="0"/>
        <v xml:space="preserve"> </v>
      </c>
      <c r="J25" t="str">
        <f t="shared" si="1"/>
        <v xml:space="preserve"> </v>
      </c>
      <c r="K25" t="str">
        <f t="shared" si="2"/>
        <v/>
      </c>
    </row>
    <row r="26" spans="1:11" x14ac:dyDescent="0.35">
      <c r="I26" t="str">
        <f t="shared" si="0"/>
        <v xml:space="preserve"> </v>
      </c>
      <c r="J26" t="str">
        <f t="shared" si="1"/>
        <v xml:space="preserve"> </v>
      </c>
      <c r="K26" t="str">
        <f t="shared" si="2"/>
        <v/>
      </c>
    </row>
    <row r="27" spans="1:11" x14ac:dyDescent="0.35">
      <c r="I27" t="str">
        <f t="shared" si="0"/>
        <v xml:space="preserve"> </v>
      </c>
      <c r="J27" t="str">
        <f t="shared" si="1"/>
        <v xml:space="preserve"> </v>
      </c>
      <c r="K27" t="str">
        <f t="shared" si="2"/>
        <v/>
      </c>
    </row>
    <row r="28" spans="1:11" x14ac:dyDescent="0.35">
      <c r="I28" t="str">
        <f t="shared" si="0"/>
        <v xml:space="preserve"> </v>
      </c>
      <c r="J28" t="str">
        <f t="shared" si="1"/>
        <v xml:space="preserve"> </v>
      </c>
      <c r="K28" t="str">
        <f t="shared" si="2"/>
        <v/>
      </c>
    </row>
    <row r="29" spans="1:11" x14ac:dyDescent="0.35">
      <c r="I29" t="str">
        <f t="shared" si="0"/>
        <v xml:space="preserve"> </v>
      </c>
      <c r="J29" t="str">
        <f t="shared" si="1"/>
        <v xml:space="preserve"> </v>
      </c>
      <c r="K29" t="str">
        <f t="shared" si="2"/>
        <v/>
      </c>
    </row>
    <row r="30" spans="1:11" x14ac:dyDescent="0.35">
      <c r="I30" t="str">
        <f t="shared" si="0"/>
        <v xml:space="preserve"> </v>
      </c>
      <c r="J30" t="str">
        <f t="shared" si="1"/>
        <v xml:space="preserve"> </v>
      </c>
      <c r="K30" t="str">
        <f t="shared" si="2"/>
        <v/>
      </c>
    </row>
    <row r="31" spans="1:11" x14ac:dyDescent="0.35">
      <c r="I31" t="str">
        <f t="shared" si="0"/>
        <v xml:space="preserve"> </v>
      </c>
      <c r="J31" t="str">
        <f t="shared" si="1"/>
        <v xml:space="preserve"> </v>
      </c>
      <c r="K31" t="str">
        <f t="shared" si="2"/>
        <v/>
      </c>
    </row>
    <row r="32" spans="1:11" x14ac:dyDescent="0.35">
      <c r="I32" t="str">
        <f t="shared" si="0"/>
        <v xml:space="preserve"> </v>
      </c>
      <c r="J32" t="str">
        <f t="shared" si="1"/>
        <v xml:space="preserve"> </v>
      </c>
      <c r="K32" t="str">
        <f t="shared" si="2"/>
        <v/>
      </c>
    </row>
    <row r="33" spans="9:11" x14ac:dyDescent="0.35">
      <c r="I33" t="str">
        <f t="shared" si="0"/>
        <v xml:space="preserve"> </v>
      </c>
      <c r="J33" t="str">
        <f t="shared" si="1"/>
        <v xml:space="preserve"> </v>
      </c>
      <c r="K33" t="str">
        <f t="shared" si="2"/>
        <v/>
      </c>
    </row>
    <row r="34" spans="9:11" x14ac:dyDescent="0.35">
      <c r="I34" t="str">
        <f t="shared" si="0"/>
        <v xml:space="preserve"> </v>
      </c>
      <c r="J34" t="str">
        <f t="shared" si="1"/>
        <v xml:space="preserve"> </v>
      </c>
      <c r="K34" t="str">
        <f t="shared" si="2"/>
        <v/>
      </c>
    </row>
    <row r="35" spans="9:11" x14ac:dyDescent="0.35">
      <c r="I35" t="str">
        <f t="shared" ref="I35:I60" si="3">IF(H35=""," ",SUMIF(Purch_ItemName,H35,Purch_ItemQty))</f>
        <v xml:space="preserve"> </v>
      </c>
      <c r="J35" t="str">
        <f t="shared" ref="J35:J60" si="4">IF(H35=""," ",SUMIF(Inv_ItemName,H35,Inv_ItemQty))</f>
        <v xml:space="preserve"> </v>
      </c>
      <c r="K35" t="str">
        <f t="shared" si="2"/>
        <v/>
      </c>
    </row>
    <row r="36" spans="9:11" x14ac:dyDescent="0.35">
      <c r="I36" t="str">
        <f t="shared" si="3"/>
        <v xml:space="preserve"> </v>
      </c>
      <c r="J36" t="str">
        <f t="shared" si="4"/>
        <v xml:space="preserve"> </v>
      </c>
      <c r="K36" t="str">
        <f t="shared" si="2"/>
        <v/>
      </c>
    </row>
    <row r="37" spans="9:11" x14ac:dyDescent="0.35">
      <c r="I37" t="str">
        <f t="shared" si="3"/>
        <v xml:space="preserve"> </v>
      </c>
      <c r="J37" t="str">
        <f t="shared" si="4"/>
        <v xml:space="preserve"> </v>
      </c>
      <c r="K37" t="str">
        <f t="shared" si="2"/>
        <v/>
      </c>
    </row>
    <row r="38" spans="9:11" x14ac:dyDescent="0.35">
      <c r="I38" t="str">
        <f t="shared" si="3"/>
        <v xml:space="preserve"> </v>
      </c>
      <c r="J38" t="str">
        <f t="shared" si="4"/>
        <v xml:space="preserve"> </v>
      </c>
      <c r="K38" t="str">
        <f t="shared" si="2"/>
        <v/>
      </c>
    </row>
    <row r="39" spans="9:11" x14ac:dyDescent="0.35">
      <c r="I39" t="str">
        <f t="shared" si="3"/>
        <v xml:space="preserve"> </v>
      </c>
      <c r="J39" t="str">
        <f t="shared" si="4"/>
        <v xml:space="preserve"> </v>
      </c>
      <c r="K39" t="str">
        <f t="shared" si="2"/>
        <v/>
      </c>
    </row>
    <row r="40" spans="9:11" x14ac:dyDescent="0.35">
      <c r="I40" t="str">
        <f t="shared" si="3"/>
        <v xml:space="preserve"> </v>
      </c>
      <c r="J40" t="str">
        <f t="shared" si="4"/>
        <v xml:space="preserve"> </v>
      </c>
      <c r="K40" t="str">
        <f t="shared" si="2"/>
        <v/>
      </c>
    </row>
    <row r="41" spans="9:11" x14ac:dyDescent="0.35">
      <c r="I41" t="str">
        <f t="shared" si="3"/>
        <v xml:space="preserve"> </v>
      </c>
      <c r="J41" t="str">
        <f t="shared" si="4"/>
        <v xml:space="preserve"> </v>
      </c>
      <c r="K41" t="str">
        <f t="shared" si="2"/>
        <v/>
      </c>
    </row>
    <row r="42" spans="9:11" x14ac:dyDescent="0.35">
      <c r="I42" t="str">
        <f t="shared" si="3"/>
        <v xml:space="preserve"> </v>
      </c>
      <c r="J42" t="str">
        <f t="shared" si="4"/>
        <v xml:space="preserve"> </v>
      </c>
      <c r="K42" t="str">
        <f t="shared" si="2"/>
        <v/>
      </c>
    </row>
    <row r="43" spans="9:11" x14ac:dyDescent="0.35">
      <c r="I43" t="str">
        <f t="shared" si="3"/>
        <v xml:space="preserve"> </v>
      </c>
      <c r="J43" t="str">
        <f t="shared" si="4"/>
        <v xml:space="preserve"> </v>
      </c>
      <c r="K43" t="str">
        <f t="shared" si="2"/>
        <v/>
      </c>
    </row>
    <row r="44" spans="9:11" x14ac:dyDescent="0.35">
      <c r="I44" t="str">
        <f t="shared" si="3"/>
        <v xml:space="preserve"> </v>
      </c>
      <c r="J44" t="str">
        <f t="shared" si="4"/>
        <v xml:space="preserve"> </v>
      </c>
      <c r="K44" t="str">
        <f t="shared" si="2"/>
        <v/>
      </c>
    </row>
    <row r="45" spans="9:11" x14ac:dyDescent="0.35">
      <c r="I45" t="str">
        <f t="shared" si="3"/>
        <v xml:space="preserve"> </v>
      </c>
      <c r="J45" t="str">
        <f t="shared" si="4"/>
        <v xml:space="preserve"> </v>
      </c>
      <c r="K45" t="str">
        <f t="shared" si="2"/>
        <v/>
      </c>
    </row>
    <row r="46" spans="9:11" x14ac:dyDescent="0.35">
      <c r="I46" t="str">
        <f t="shared" si="3"/>
        <v xml:space="preserve"> </v>
      </c>
      <c r="J46" t="str">
        <f t="shared" si="4"/>
        <v xml:space="preserve"> </v>
      </c>
      <c r="K46" t="str">
        <f t="shared" si="2"/>
        <v/>
      </c>
    </row>
    <row r="47" spans="9:11" x14ac:dyDescent="0.35">
      <c r="I47" t="str">
        <f t="shared" si="3"/>
        <v xml:space="preserve"> </v>
      </c>
      <c r="J47" t="str">
        <f t="shared" si="4"/>
        <v xml:space="preserve"> </v>
      </c>
      <c r="K47" t="str">
        <f t="shared" si="2"/>
        <v/>
      </c>
    </row>
    <row r="48" spans="9:11" x14ac:dyDescent="0.35">
      <c r="I48" t="str">
        <f t="shared" si="3"/>
        <v xml:space="preserve"> </v>
      </c>
      <c r="J48" t="str">
        <f t="shared" si="4"/>
        <v xml:space="preserve"> </v>
      </c>
      <c r="K48" t="str">
        <f t="shared" si="2"/>
        <v/>
      </c>
    </row>
    <row r="49" spans="9:11" x14ac:dyDescent="0.35">
      <c r="I49" t="str">
        <f t="shared" si="3"/>
        <v xml:space="preserve"> </v>
      </c>
      <c r="J49" t="str">
        <f t="shared" si="4"/>
        <v xml:space="preserve"> </v>
      </c>
      <c r="K49" t="str">
        <f t="shared" si="2"/>
        <v/>
      </c>
    </row>
    <row r="50" spans="9:11" x14ac:dyDescent="0.35">
      <c r="I50" t="str">
        <f t="shared" si="3"/>
        <v xml:space="preserve"> </v>
      </c>
      <c r="J50" t="str">
        <f t="shared" si="4"/>
        <v xml:space="preserve"> </v>
      </c>
      <c r="K50" t="str">
        <f t="shared" si="2"/>
        <v/>
      </c>
    </row>
    <row r="51" spans="9:11" x14ac:dyDescent="0.35">
      <c r="I51" t="str">
        <f t="shared" si="3"/>
        <v xml:space="preserve"> </v>
      </c>
      <c r="J51" t="str">
        <f t="shared" si="4"/>
        <v xml:space="preserve"> </v>
      </c>
      <c r="K51" t="str">
        <f t="shared" si="2"/>
        <v/>
      </c>
    </row>
    <row r="52" spans="9:11" x14ac:dyDescent="0.35">
      <c r="I52" t="str">
        <f t="shared" si="3"/>
        <v xml:space="preserve"> </v>
      </c>
      <c r="J52" t="str">
        <f t="shared" si="4"/>
        <v xml:space="preserve"> </v>
      </c>
      <c r="K52" t="str">
        <f t="shared" si="2"/>
        <v/>
      </c>
    </row>
    <row r="53" spans="9:11" x14ac:dyDescent="0.35">
      <c r="I53" t="str">
        <f t="shared" si="3"/>
        <v xml:space="preserve"> </v>
      </c>
      <c r="J53" t="str">
        <f t="shared" si="4"/>
        <v xml:space="preserve"> </v>
      </c>
      <c r="K53" t="str">
        <f t="shared" si="2"/>
        <v/>
      </c>
    </row>
    <row r="54" spans="9:11" x14ac:dyDescent="0.35">
      <c r="I54" t="str">
        <f t="shared" si="3"/>
        <v xml:space="preserve"> </v>
      </c>
      <c r="J54" t="str">
        <f t="shared" si="4"/>
        <v xml:space="preserve"> </v>
      </c>
      <c r="K54" t="str">
        <f t="shared" si="2"/>
        <v/>
      </c>
    </row>
    <row r="55" spans="9:11" x14ac:dyDescent="0.35">
      <c r="I55" t="str">
        <f t="shared" si="3"/>
        <v xml:space="preserve"> </v>
      </c>
      <c r="J55" t="str">
        <f t="shared" si="4"/>
        <v xml:space="preserve"> </v>
      </c>
      <c r="K55" t="str">
        <f t="shared" si="2"/>
        <v/>
      </c>
    </row>
    <row r="56" spans="9:11" x14ac:dyDescent="0.35">
      <c r="I56" t="str">
        <f t="shared" si="3"/>
        <v xml:space="preserve"> </v>
      </c>
      <c r="J56" t="str">
        <f t="shared" si="4"/>
        <v xml:space="preserve"> </v>
      </c>
      <c r="K56" t="str">
        <f t="shared" si="2"/>
        <v/>
      </c>
    </row>
    <row r="57" spans="9:11" x14ac:dyDescent="0.35">
      <c r="I57" t="str">
        <f t="shared" si="3"/>
        <v xml:space="preserve"> </v>
      </c>
      <c r="J57" t="str">
        <f t="shared" si="4"/>
        <v xml:space="preserve"> </v>
      </c>
      <c r="K57" t="str">
        <f t="shared" si="2"/>
        <v/>
      </c>
    </row>
    <row r="58" spans="9:11" x14ac:dyDescent="0.35">
      <c r="I58" t="str">
        <f t="shared" si="3"/>
        <v xml:space="preserve"> </v>
      </c>
      <c r="J58" t="str">
        <f t="shared" si="4"/>
        <v xml:space="preserve"> </v>
      </c>
      <c r="K58" t="str">
        <f t="shared" si="2"/>
        <v/>
      </c>
    </row>
    <row r="59" spans="9:11" x14ac:dyDescent="0.35">
      <c r="I59" t="str">
        <f t="shared" si="3"/>
        <v xml:space="preserve"> </v>
      </c>
      <c r="J59" t="str">
        <f t="shared" si="4"/>
        <v xml:space="preserve"> </v>
      </c>
      <c r="K59" t="str">
        <f t="shared" si="2"/>
        <v/>
      </c>
    </row>
    <row r="60" spans="9:11" x14ac:dyDescent="0.35">
      <c r="I60" t="str">
        <f t="shared" si="3"/>
        <v xml:space="preserve"> </v>
      </c>
      <c r="J60" t="str">
        <f t="shared" si="4"/>
        <v xml:space="preserve"> </v>
      </c>
      <c r="K60" t="str">
        <f t="shared" si="2"/>
        <v/>
      </c>
    </row>
  </sheetData>
  <sortState xmlns:xlrd2="http://schemas.microsoft.com/office/spreadsheetml/2017/richdata2" ref="A3:E15">
    <sortCondition ref="A3"/>
  </sortState>
  <mergeCells count="1">
    <mergeCell ref="A1:E1"/>
  </mergeCells>
  <conditionalFormatting sqref="A3:E23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A50"/>
  <sheetViews>
    <sheetView workbookViewId="0">
      <selection activeCell="H4" sqref="H4"/>
    </sheetView>
  </sheetViews>
  <sheetFormatPr defaultRowHeight="14.5" x14ac:dyDescent="0.35"/>
  <cols>
    <col min="1" max="1" width="9.7265625" bestFit="1" customWidth="1"/>
    <col min="3" max="3" width="14.7265625" bestFit="1" customWidth="1"/>
    <col min="4" max="4" width="8.453125" bestFit="1" customWidth="1"/>
    <col min="5" max="5" width="8.81640625" bestFit="1" customWidth="1"/>
    <col min="6" max="6" width="20.54296875" bestFit="1" customWidth="1"/>
    <col min="11" max="11" width="8.453125" bestFit="1" customWidth="1"/>
    <col min="13" max="13" width="13.1796875" customWidth="1"/>
    <col min="14" max="14" width="15.7265625" customWidth="1"/>
    <col min="16" max="16" width="14.7265625" bestFit="1" customWidth="1"/>
    <col min="22" max="22" width="13.1796875" customWidth="1"/>
    <col min="23" max="23" width="10.453125" customWidth="1"/>
  </cols>
  <sheetData>
    <row r="1" spans="1:27" x14ac:dyDescent="0.35">
      <c r="A1" s="30" t="s">
        <v>191</v>
      </c>
      <c r="B1" s="30" t="s">
        <v>192</v>
      </c>
      <c r="C1" s="30" t="s">
        <v>193</v>
      </c>
      <c r="D1" s="30" t="s">
        <v>229</v>
      </c>
      <c r="E1" s="30" t="s">
        <v>194</v>
      </c>
      <c r="F1" s="30" t="s">
        <v>195</v>
      </c>
      <c r="J1" s="121" t="s">
        <v>240</v>
      </c>
      <c r="K1" s="121"/>
      <c r="M1" s="121" t="s">
        <v>238</v>
      </c>
      <c r="N1" s="121"/>
      <c r="P1" s="121" t="s">
        <v>239</v>
      </c>
      <c r="Q1" s="121"/>
      <c r="X1" s="56"/>
      <c r="Y1" s="56"/>
      <c r="Z1" s="56"/>
      <c r="AA1" s="56"/>
    </row>
    <row r="2" spans="1:27" x14ac:dyDescent="0.35">
      <c r="A2" s="122" t="s">
        <v>190</v>
      </c>
      <c r="B2" s="122"/>
      <c r="C2" s="122"/>
      <c r="D2" s="122"/>
      <c r="E2" s="122"/>
      <c r="F2" s="122"/>
      <c r="J2" s="46" t="s">
        <v>22</v>
      </c>
      <c r="K2" s="46" t="s">
        <v>22</v>
      </c>
      <c r="M2" s="46" t="s">
        <v>2</v>
      </c>
      <c r="N2" s="46" t="s">
        <v>3</v>
      </c>
      <c r="P2" s="46" t="s">
        <v>2</v>
      </c>
      <c r="Q2" s="46" t="s">
        <v>3</v>
      </c>
      <c r="AA2" s="2"/>
    </row>
    <row r="3" spans="1:27" x14ac:dyDescent="0.35">
      <c r="A3" s="29" t="s">
        <v>11</v>
      </c>
      <c r="B3" s="29" t="s">
        <v>3</v>
      </c>
      <c r="C3" s="29" t="s">
        <v>2</v>
      </c>
      <c r="D3" s="29" t="s">
        <v>22</v>
      </c>
      <c r="E3" s="29" t="s">
        <v>4</v>
      </c>
      <c r="F3" s="29" t="s">
        <v>182</v>
      </c>
      <c r="J3" s="46" t="s">
        <v>180</v>
      </c>
      <c r="K3" s="46" t="s">
        <v>201</v>
      </c>
      <c r="M3" t="s">
        <v>189</v>
      </c>
      <c r="N3">
        <f t="shared" ref="N3:N50" ca="1" si="0">IF(M3="","",SUMIFS(Trans_Amount,Trans_Acct,M3,Trans_Date,"&gt;="&amp;StartDate,Trans_Date,"&lt;="&amp;EndDate))</f>
        <v>55</v>
      </c>
      <c r="P3" t="s">
        <v>197</v>
      </c>
      <c r="Q3">
        <f t="shared" ref="Q3:Q50" ca="1" si="1">IF(P3="","",SUMIFS(Trans_Amount,Trans_Acct,P3,Trans_Date,"&gt;="&amp;StartDate,Trans_Date,"&lt;="&amp;EndDate))</f>
        <v>500</v>
      </c>
    </row>
    <row r="4" spans="1:27" x14ac:dyDescent="0.35">
      <c r="A4" s="43">
        <v>43850</v>
      </c>
      <c r="B4" s="44">
        <v>55</v>
      </c>
      <c r="C4" t="s">
        <v>189</v>
      </c>
      <c r="D4" t="s">
        <v>180</v>
      </c>
      <c r="E4" t="s">
        <v>204</v>
      </c>
      <c r="F4" t="s">
        <v>208</v>
      </c>
      <c r="M4" t="s">
        <v>187</v>
      </c>
      <c r="N4">
        <f t="shared" ca="1" si="0"/>
        <v>200</v>
      </c>
      <c r="P4" t="s">
        <v>198</v>
      </c>
      <c r="Q4">
        <f t="shared" ca="1" si="1"/>
        <v>15</v>
      </c>
    </row>
    <row r="5" spans="1:27" x14ac:dyDescent="0.35">
      <c r="A5" s="43">
        <v>43835</v>
      </c>
      <c r="B5" s="44">
        <v>500</v>
      </c>
      <c r="C5" t="s">
        <v>197</v>
      </c>
      <c r="D5" t="s">
        <v>201</v>
      </c>
      <c r="E5" t="s">
        <v>203</v>
      </c>
      <c r="F5" t="s">
        <v>208</v>
      </c>
      <c r="M5" t="s">
        <v>188</v>
      </c>
      <c r="N5">
        <f t="shared" ca="1" si="0"/>
        <v>600</v>
      </c>
      <c r="Q5" t="str">
        <f t="shared" si="1"/>
        <v/>
      </c>
    </row>
    <row r="6" spans="1:27" x14ac:dyDescent="0.35">
      <c r="A6" s="43">
        <v>43845</v>
      </c>
      <c r="B6" s="44">
        <v>150</v>
      </c>
      <c r="C6" t="s">
        <v>187</v>
      </c>
      <c r="D6" t="s">
        <v>180</v>
      </c>
      <c r="E6" t="s">
        <v>205</v>
      </c>
      <c r="F6" t="s">
        <v>231</v>
      </c>
      <c r="N6" t="str">
        <f t="shared" si="0"/>
        <v/>
      </c>
      <c r="Q6" t="str">
        <f t="shared" si="1"/>
        <v/>
      </c>
    </row>
    <row r="7" spans="1:27" x14ac:dyDescent="0.35">
      <c r="A7" s="43">
        <v>43966</v>
      </c>
      <c r="B7" s="44">
        <v>25</v>
      </c>
      <c r="C7" t="s">
        <v>198</v>
      </c>
      <c r="D7" t="s">
        <v>201</v>
      </c>
      <c r="E7" t="s">
        <v>206</v>
      </c>
      <c r="F7" t="s">
        <v>236</v>
      </c>
      <c r="N7" t="str">
        <f t="shared" si="0"/>
        <v/>
      </c>
      <c r="Q7" t="str">
        <f t="shared" si="1"/>
        <v/>
      </c>
    </row>
    <row r="8" spans="1:27" x14ac:dyDescent="0.35">
      <c r="A8" s="43">
        <v>43845</v>
      </c>
      <c r="B8" s="44">
        <v>15</v>
      </c>
      <c r="C8" t="s">
        <v>198</v>
      </c>
      <c r="D8" t="s">
        <v>201</v>
      </c>
      <c r="E8" t="s">
        <v>203</v>
      </c>
      <c r="F8" t="s">
        <v>237</v>
      </c>
      <c r="N8" t="str">
        <f t="shared" si="0"/>
        <v/>
      </c>
      <c r="Q8" t="str">
        <f t="shared" si="1"/>
        <v/>
      </c>
    </row>
    <row r="9" spans="1:27" x14ac:dyDescent="0.35">
      <c r="A9" s="43">
        <v>43840</v>
      </c>
      <c r="B9" s="44">
        <v>600</v>
      </c>
      <c r="C9" t="s">
        <v>188</v>
      </c>
      <c r="D9" t="s">
        <v>180</v>
      </c>
      <c r="E9" t="s">
        <v>203</v>
      </c>
      <c r="F9" t="s">
        <v>241</v>
      </c>
      <c r="N9" t="str">
        <f t="shared" si="0"/>
        <v/>
      </c>
      <c r="Q9" t="str">
        <f t="shared" si="1"/>
        <v/>
      </c>
    </row>
    <row r="10" spans="1:27" x14ac:dyDescent="0.35">
      <c r="A10" s="43">
        <v>43845</v>
      </c>
      <c r="B10" s="44">
        <v>50</v>
      </c>
      <c r="C10" t="s">
        <v>187</v>
      </c>
      <c r="D10" t="s">
        <v>180</v>
      </c>
      <c r="E10" t="s">
        <v>203</v>
      </c>
      <c r="F10" t="s">
        <v>251</v>
      </c>
      <c r="N10" t="str">
        <f t="shared" si="0"/>
        <v/>
      </c>
      <c r="Q10" t="str">
        <f t="shared" si="1"/>
        <v/>
      </c>
    </row>
    <row r="11" spans="1:27" x14ac:dyDescent="0.35">
      <c r="N11" t="str">
        <f t="shared" si="0"/>
        <v/>
      </c>
      <c r="Q11" t="str">
        <f t="shared" si="1"/>
        <v/>
      </c>
    </row>
    <row r="12" spans="1:27" x14ac:dyDescent="0.35">
      <c r="N12" t="str">
        <f t="shared" si="0"/>
        <v/>
      </c>
      <c r="Q12" t="str">
        <f t="shared" si="1"/>
        <v/>
      </c>
    </row>
    <row r="13" spans="1:27" x14ac:dyDescent="0.35">
      <c r="N13" t="str">
        <f t="shared" si="0"/>
        <v/>
      </c>
      <c r="Q13" t="str">
        <f t="shared" si="1"/>
        <v/>
      </c>
    </row>
    <row r="14" spans="1:27" x14ac:dyDescent="0.35">
      <c r="N14" t="str">
        <f t="shared" si="0"/>
        <v/>
      </c>
      <c r="Q14" t="str">
        <f t="shared" si="1"/>
        <v/>
      </c>
    </row>
    <row r="15" spans="1:27" x14ac:dyDescent="0.35">
      <c r="N15" t="str">
        <f t="shared" si="0"/>
        <v/>
      </c>
      <c r="Q15" t="str">
        <f t="shared" si="1"/>
        <v/>
      </c>
    </row>
    <row r="16" spans="1:27" x14ac:dyDescent="0.35">
      <c r="N16" t="str">
        <f t="shared" si="0"/>
        <v/>
      </c>
      <c r="Q16" t="str">
        <f t="shared" si="1"/>
        <v/>
      </c>
    </row>
    <row r="17" spans="14:17" x14ac:dyDescent="0.35">
      <c r="N17" t="str">
        <f t="shared" si="0"/>
        <v/>
      </c>
      <c r="Q17" t="str">
        <f t="shared" si="1"/>
        <v/>
      </c>
    </row>
    <row r="18" spans="14:17" x14ac:dyDescent="0.35">
      <c r="N18" t="str">
        <f t="shared" si="0"/>
        <v/>
      </c>
      <c r="Q18" t="str">
        <f t="shared" si="1"/>
        <v/>
      </c>
    </row>
    <row r="19" spans="14:17" x14ac:dyDescent="0.35">
      <c r="N19" t="str">
        <f t="shared" si="0"/>
        <v/>
      </c>
      <c r="Q19" t="str">
        <f t="shared" si="1"/>
        <v/>
      </c>
    </row>
    <row r="20" spans="14:17" x14ac:dyDescent="0.35">
      <c r="N20" t="str">
        <f t="shared" si="0"/>
        <v/>
      </c>
      <c r="Q20" t="str">
        <f t="shared" si="1"/>
        <v/>
      </c>
    </row>
    <row r="21" spans="14:17" x14ac:dyDescent="0.35">
      <c r="N21" t="str">
        <f t="shared" si="0"/>
        <v/>
      </c>
      <c r="Q21" t="str">
        <f t="shared" si="1"/>
        <v/>
      </c>
    </row>
    <row r="22" spans="14:17" x14ac:dyDescent="0.35">
      <c r="N22" t="str">
        <f t="shared" si="0"/>
        <v/>
      </c>
      <c r="Q22" t="str">
        <f t="shared" si="1"/>
        <v/>
      </c>
    </row>
    <row r="23" spans="14:17" x14ac:dyDescent="0.35">
      <c r="N23" t="str">
        <f t="shared" si="0"/>
        <v/>
      </c>
      <c r="Q23" t="str">
        <f t="shared" si="1"/>
        <v/>
      </c>
    </row>
    <row r="24" spans="14:17" x14ac:dyDescent="0.35">
      <c r="N24" t="str">
        <f t="shared" si="0"/>
        <v/>
      </c>
      <c r="Q24" t="str">
        <f t="shared" si="1"/>
        <v/>
      </c>
    </row>
    <row r="25" spans="14:17" x14ac:dyDescent="0.35">
      <c r="N25" t="str">
        <f t="shared" si="0"/>
        <v/>
      </c>
      <c r="Q25" t="str">
        <f t="shared" si="1"/>
        <v/>
      </c>
    </row>
    <row r="26" spans="14:17" x14ac:dyDescent="0.35">
      <c r="N26" t="str">
        <f t="shared" si="0"/>
        <v/>
      </c>
      <c r="Q26" t="str">
        <f t="shared" si="1"/>
        <v/>
      </c>
    </row>
    <row r="27" spans="14:17" x14ac:dyDescent="0.35">
      <c r="N27" t="str">
        <f t="shared" si="0"/>
        <v/>
      </c>
      <c r="Q27" t="str">
        <f t="shared" si="1"/>
        <v/>
      </c>
    </row>
    <row r="28" spans="14:17" x14ac:dyDescent="0.35">
      <c r="N28" t="str">
        <f t="shared" si="0"/>
        <v/>
      </c>
      <c r="Q28" t="str">
        <f t="shared" si="1"/>
        <v/>
      </c>
    </row>
    <row r="29" spans="14:17" x14ac:dyDescent="0.35">
      <c r="N29" t="str">
        <f t="shared" si="0"/>
        <v/>
      </c>
      <c r="Q29" t="str">
        <f t="shared" si="1"/>
        <v/>
      </c>
    </row>
    <row r="30" spans="14:17" x14ac:dyDescent="0.35">
      <c r="N30" t="str">
        <f t="shared" si="0"/>
        <v/>
      </c>
      <c r="Q30" t="str">
        <f t="shared" si="1"/>
        <v/>
      </c>
    </row>
    <row r="31" spans="14:17" x14ac:dyDescent="0.35">
      <c r="N31" t="str">
        <f t="shared" si="0"/>
        <v/>
      </c>
      <c r="Q31" t="str">
        <f t="shared" si="1"/>
        <v/>
      </c>
    </row>
    <row r="32" spans="14:17" x14ac:dyDescent="0.35">
      <c r="N32" t="str">
        <f t="shared" si="0"/>
        <v/>
      </c>
      <c r="Q32" t="str">
        <f t="shared" si="1"/>
        <v/>
      </c>
    </row>
    <row r="33" spans="14:17" x14ac:dyDescent="0.35">
      <c r="N33" t="str">
        <f t="shared" si="0"/>
        <v/>
      </c>
      <c r="Q33" t="str">
        <f t="shared" si="1"/>
        <v/>
      </c>
    </row>
    <row r="34" spans="14:17" x14ac:dyDescent="0.35">
      <c r="N34" t="str">
        <f t="shared" si="0"/>
        <v/>
      </c>
      <c r="Q34" t="str">
        <f t="shared" si="1"/>
        <v/>
      </c>
    </row>
    <row r="35" spans="14:17" x14ac:dyDescent="0.35">
      <c r="N35" t="str">
        <f t="shared" si="0"/>
        <v/>
      </c>
      <c r="Q35" t="str">
        <f t="shared" si="1"/>
        <v/>
      </c>
    </row>
    <row r="36" spans="14:17" x14ac:dyDescent="0.35">
      <c r="N36" t="str">
        <f t="shared" si="0"/>
        <v/>
      </c>
      <c r="Q36" t="str">
        <f t="shared" si="1"/>
        <v/>
      </c>
    </row>
    <row r="37" spans="14:17" x14ac:dyDescent="0.35">
      <c r="N37" t="str">
        <f t="shared" si="0"/>
        <v/>
      </c>
      <c r="Q37" t="str">
        <f t="shared" si="1"/>
        <v/>
      </c>
    </row>
    <row r="38" spans="14:17" x14ac:dyDescent="0.35">
      <c r="N38" t="str">
        <f t="shared" si="0"/>
        <v/>
      </c>
      <c r="Q38" t="str">
        <f t="shared" si="1"/>
        <v/>
      </c>
    </row>
    <row r="39" spans="14:17" x14ac:dyDescent="0.35">
      <c r="N39" t="str">
        <f t="shared" si="0"/>
        <v/>
      </c>
      <c r="Q39" t="str">
        <f t="shared" si="1"/>
        <v/>
      </c>
    </row>
    <row r="40" spans="14:17" x14ac:dyDescent="0.35">
      <c r="N40" t="str">
        <f t="shared" si="0"/>
        <v/>
      </c>
      <c r="Q40" t="str">
        <f t="shared" si="1"/>
        <v/>
      </c>
    </row>
    <row r="41" spans="14:17" x14ac:dyDescent="0.35">
      <c r="N41" t="str">
        <f t="shared" si="0"/>
        <v/>
      </c>
      <c r="Q41" t="str">
        <f t="shared" si="1"/>
        <v/>
      </c>
    </row>
    <row r="42" spans="14:17" x14ac:dyDescent="0.35">
      <c r="N42" t="str">
        <f t="shared" si="0"/>
        <v/>
      </c>
      <c r="Q42" t="str">
        <f t="shared" si="1"/>
        <v/>
      </c>
    </row>
    <row r="43" spans="14:17" x14ac:dyDescent="0.35">
      <c r="N43" t="str">
        <f t="shared" si="0"/>
        <v/>
      </c>
      <c r="Q43" t="str">
        <f t="shared" si="1"/>
        <v/>
      </c>
    </row>
    <row r="44" spans="14:17" x14ac:dyDescent="0.35">
      <c r="N44" t="str">
        <f t="shared" si="0"/>
        <v/>
      </c>
      <c r="Q44" t="str">
        <f t="shared" si="1"/>
        <v/>
      </c>
    </row>
    <row r="45" spans="14:17" x14ac:dyDescent="0.35">
      <c r="N45" t="str">
        <f t="shared" si="0"/>
        <v/>
      </c>
      <c r="Q45" t="str">
        <f t="shared" si="1"/>
        <v/>
      </c>
    </row>
    <row r="46" spans="14:17" x14ac:dyDescent="0.35">
      <c r="N46" t="str">
        <f t="shared" si="0"/>
        <v/>
      </c>
      <c r="Q46" t="str">
        <f t="shared" si="1"/>
        <v/>
      </c>
    </row>
    <row r="47" spans="14:17" x14ac:dyDescent="0.35">
      <c r="N47" t="str">
        <f t="shared" si="0"/>
        <v/>
      </c>
      <c r="Q47" t="str">
        <f t="shared" si="1"/>
        <v/>
      </c>
    </row>
    <row r="48" spans="14:17" x14ac:dyDescent="0.35">
      <c r="N48" t="str">
        <f t="shared" si="0"/>
        <v/>
      </c>
      <c r="Q48" t="str">
        <f t="shared" si="1"/>
        <v/>
      </c>
    </row>
    <row r="49" spans="14:17" x14ac:dyDescent="0.35">
      <c r="N49" t="str">
        <f t="shared" si="0"/>
        <v/>
      </c>
      <c r="Q49" t="str">
        <f t="shared" si="1"/>
        <v/>
      </c>
    </row>
    <row r="50" spans="14:17" x14ac:dyDescent="0.35">
      <c r="N50" t="str">
        <f t="shared" si="0"/>
        <v/>
      </c>
      <c r="Q50" t="str">
        <f t="shared" si="1"/>
        <v/>
      </c>
    </row>
  </sheetData>
  <mergeCells count="4">
    <mergeCell ref="P1:Q1"/>
    <mergeCell ref="J1:K1"/>
    <mergeCell ref="A2:F2"/>
    <mergeCell ref="M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ERP</vt:lpstr>
      <vt:lpstr>Invoices</vt:lpstr>
      <vt:lpstr>Lists</vt:lpstr>
      <vt:lpstr>Invoice Items</vt:lpstr>
      <vt:lpstr>Purchases</vt:lpstr>
      <vt:lpstr>PurchItems</vt:lpstr>
      <vt:lpstr>Customers</vt:lpstr>
      <vt:lpstr>Inventory Items</vt:lpstr>
      <vt:lpstr>Transactions</vt:lpstr>
      <vt:lpstr>Invoices!Criteria</vt:lpstr>
      <vt:lpstr>Transactions!Criteria</vt:lpstr>
      <vt:lpstr>EndDate</vt:lpstr>
      <vt:lpstr>Invoices!Extract</vt:lpstr>
      <vt:lpstr>Transactions!Extract</vt:lpstr>
      <vt:lpstr>StartDate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Sean Smith</cp:lastModifiedBy>
  <dcterms:created xsi:type="dcterms:W3CDTF">2020-10-23T04:52:45Z</dcterms:created>
  <dcterms:modified xsi:type="dcterms:W3CDTF">2020-12-22T03:46:06Z</dcterms:modified>
</cp:coreProperties>
</file>