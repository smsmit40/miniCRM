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4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msmi\Desktop\"/>
    </mc:Choice>
  </mc:AlternateContent>
  <xr:revisionPtr revIDLastSave="0" documentId="8_{7C2D874E-7A24-4C06-B505-8384A61253C5}" xr6:coauthVersionLast="45" xr6:coauthVersionMax="45" xr10:uidLastSave="{00000000-0000-0000-0000-000000000000}"/>
  <bookViews>
    <workbookView xWindow="-110" yWindow="490" windowWidth="22780" windowHeight="14660" tabRatio="367" xr2:uid="{00000000-000D-0000-FFFF-FFFF00000000}"/>
  </bookViews>
  <sheets>
    <sheet name="Mini-CRM" sheetId="1" r:id="rId1"/>
    <sheet name="Contacts" sheetId="2" r:id="rId2"/>
    <sheet name="Documents" sheetId="4" r:id="rId3"/>
    <sheet name="Emails" sheetId="3" r:id="rId4"/>
    <sheet name="Reminder" sheetId="5" r:id="rId5"/>
  </sheets>
  <definedNames>
    <definedName name="ContactNames">OFFSET(Contacts!$A$3,1,,COUNTA(Contacts!$A$3:$A$999)-1,1)</definedName>
    <definedName name="Documents">OFFSET(Documents!$A$3,1,,COUNTA(Documents!$A$3:$A$9999)-1,1)</definedName>
    <definedName name="Emails">OFFSET(Emails!$A$3,1,,COUNTA(Emails!$A$3:$A$999)-1,1)</definedName>
    <definedName name="Reminders">OFFSET(Reminder!$A$3,1,,COUNTA(Reminder!$A$3:$A$999)-1,1)</definedName>
    <definedName name="ReminderSummary">OFFSET(Reminder!$F$3,1,,COUNTA(Reminder!$F$3:$F$999)-1,1)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" i="5" l="1"/>
  <c r="F6" i="5"/>
  <c r="F5" i="5"/>
  <c r="F4" i="5"/>
  <c r="F2" i="5"/>
  <c r="B18" i="1"/>
  <c r="B12" i="1"/>
  <c r="B4" i="1"/>
  <c r="B8" i="1" l="1"/>
  <c r="B5" i="2" l="1"/>
  <c r="B6" i="2" s="1"/>
  <c r="B7" i="2" s="1"/>
</calcChain>
</file>

<file path=xl/sharedStrings.xml><?xml version="1.0" encoding="utf-8"?>
<sst xmlns="http://schemas.openxmlformats.org/spreadsheetml/2006/main" count="161" uniqueCount="100">
  <si>
    <t>Contact Name</t>
  </si>
  <si>
    <t>Phone</t>
  </si>
  <si>
    <t>Email Address</t>
  </si>
  <si>
    <t>Notes</t>
  </si>
  <si>
    <t>CONTACTS</t>
  </si>
  <si>
    <t>Name</t>
  </si>
  <si>
    <t>Fred Fredders</t>
  </si>
  <si>
    <t>David Davis</t>
  </si>
  <si>
    <t>Lisa Lopez</t>
  </si>
  <si>
    <t>John Jacobs</t>
  </si>
  <si>
    <t>Beth Richards</t>
  </si>
  <si>
    <t>Mary Davis</t>
  </si>
  <si>
    <t>DOCUMENTS</t>
  </si>
  <si>
    <t>Recent Emails</t>
  </si>
  <si>
    <t>Send To</t>
  </si>
  <si>
    <t>Email</t>
  </si>
  <si>
    <t>Subject</t>
  </si>
  <si>
    <t>Attachment</t>
  </si>
  <si>
    <t>Message</t>
  </si>
  <si>
    <t>Select To Attach</t>
  </si>
  <si>
    <t>Contact:</t>
  </si>
  <si>
    <t>Doc. Name</t>
  </si>
  <si>
    <t>REMINDERS</t>
  </si>
  <si>
    <t>Date</t>
  </si>
  <si>
    <t>Time</t>
  </si>
  <si>
    <t>Reminder</t>
  </si>
  <si>
    <t>Contact</t>
  </si>
  <si>
    <t>Details</t>
  </si>
  <si>
    <t>AR4</t>
  </si>
  <si>
    <t>AT4</t>
  </si>
  <si>
    <t>AR6</t>
  </si>
  <si>
    <t>AT6</t>
  </si>
  <si>
    <t>AR8</t>
  </si>
  <si>
    <t>Reminders Database</t>
  </si>
  <si>
    <t>Documents Database</t>
  </si>
  <si>
    <t>Location</t>
  </si>
  <si>
    <t>AD4</t>
  </si>
  <si>
    <t>AF4</t>
  </si>
  <si>
    <t>AD6</t>
  </si>
  <si>
    <t>AD8</t>
  </si>
  <si>
    <t>G4</t>
  </si>
  <si>
    <t>I4</t>
  </si>
  <si>
    <t>G6</t>
  </si>
  <si>
    <t>G8</t>
  </si>
  <si>
    <t>Contacts Data</t>
  </si>
  <si>
    <t>Email Data</t>
  </si>
  <si>
    <t>R2</t>
  </si>
  <si>
    <t>R4</t>
  </si>
  <si>
    <t>T4</t>
  </si>
  <si>
    <t>R6</t>
  </si>
  <si>
    <t>R8</t>
  </si>
  <si>
    <t>Sel. Contact</t>
  </si>
  <si>
    <t>Cont DB Row</t>
  </si>
  <si>
    <t>John James</t>
  </si>
  <si>
    <t>Test Notes</t>
  </si>
  <si>
    <t>John@gmail.com</t>
  </si>
  <si>
    <t>C:\Users\neilr\Dropbox\Excel4Freelancers\FreeTrainingVideos\Attachments Pt.2\Att2Thumb.png</t>
  </si>
  <si>
    <t>Att2Thumb.png</t>
  </si>
  <si>
    <t>Test Documents Notes</t>
  </si>
  <si>
    <t>Beth@gmail.com</t>
  </si>
  <si>
    <t>Mary@gmail.com</t>
  </si>
  <si>
    <t>Test Notes for marry</t>
  </si>
  <si>
    <t>Sel. Doc</t>
  </si>
  <si>
    <t>Doc DB Row</t>
  </si>
  <si>
    <t>C:\Users\neilr\Dropbox\Excel4Freelancers\FreeTrainingVideos\Attachments Pt.2\Attachments_Pt_2.xlsm</t>
  </si>
  <si>
    <t>Attachments_Pt_2.xlsm</t>
  </si>
  <si>
    <t>Contact Details</t>
  </si>
  <si>
    <t>Document Details</t>
  </si>
  <si>
    <t>Email Details</t>
  </si>
  <si>
    <t>Reminder Details</t>
  </si>
  <si>
    <t>New Contact</t>
  </si>
  <si>
    <t>New Doc</t>
  </si>
  <si>
    <t>New Email</t>
  </si>
  <si>
    <t>Remind. Row</t>
  </si>
  <si>
    <t>Sel. Remind.</t>
  </si>
  <si>
    <t>New Remind.</t>
  </si>
  <si>
    <t>Sel. Attach</t>
  </si>
  <si>
    <t>Fred@Gmail.com</t>
  </si>
  <si>
    <t>David@gmail.com</t>
  </si>
  <si>
    <t>Lisa@gmail.com</t>
  </si>
  <si>
    <t>Test Subject</t>
  </si>
  <si>
    <t>Test Message</t>
  </si>
  <si>
    <t>Test</t>
  </si>
  <si>
    <t>Call Fred</t>
  </si>
  <si>
    <t>Test details</t>
  </si>
  <si>
    <t>Call David</t>
  </si>
  <si>
    <t xml:space="preserve">Test </t>
  </si>
  <si>
    <t>Summary</t>
  </si>
  <si>
    <t>Davids Meeting</t>
  </si>
  <si>
    <t>Test Meeting</t>
  </si>
  <si>
    <t>Select Contact</t>
  </si>
  <si>
    <t>EMAIL</t>
  </si>
  <si>
    <t>Attachments</t>
  </si>
  <si>
    <t>Messages</t>
  </si>
  <si>
    <t>Sel. Email</t>
  </si>
  <si>
    <t>Doc. Notes</t>
  </si>
  <si>
    <t>Ted Tedders</t>
  </si>
  <si>
    <t>Ted@gmail</t>
  </si>
  <si>
    <t>Meeting with Fred</t>
  </si>
  <si>
    <t>test Details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</si>
</sst>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&lt;=9999999]###\-####;\(###\)\ ###\-####"/>
    <numFmt numFmtId="165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30"/>
      <color rgb="FF0070C0"/>
      <name val="Arial Rounded MT Bold"/>
      <family val="2"/>
    </font>
    <font>
      <b/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3" tint="0.59999389629810485"/>
        </stop>
        <stop position="1">
          <color theme="3" tint="0.80001220740379042"/>
        </stop>
      </gradient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gradientFill degree="90">
        <stop position="0">
          <color theme="4" tint="0.59999389629810485"/>
        </stop>
        <stop position="1">
          <color theme="3" tint="0.80001220740379042"/>
        </stop>
      </gradientFill>
    </fill>
  </fills>
  <borders count="22">
    <border>
      <left/>
      <right/>
      <top/>
      <bottom/>
      <diagonal/>
    </border>
    <border>
      <left style="hair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/>
      <right/>
      <top style="thin">
        <color rgb="FF0070C0"/>
      </top>
      <bottom/>
      <diagonal/>
    </border>
    <border>
      <left/>
      <right style="thin">
        <color rgb="FF0070C0"/>
      </right>
      <top style="thin">
        <color rgb="FF0070C0"/>
      </top>
      <bottom/>
      <diagonal/>
    </border>
    <border>
      <left/>
      <right style="thin">
        <color rgb="FF0070C0"/>
      </right>
      <top/>
      <bottom/>
      <diagonal/>
    </border>
    <border>
      <left/>
      <right/>
      <top/>
      <bottom style="thin">
        <color rgb="FF0070C0"/>
      </bottom>
      <diagonal/>
    </border>
    <border>
      <left/>
      <right style="thin">
        <color rgb="FF0070C0"/>
      </right>
      <top/>
      <bottom style="thin">
        <color rgb="FF0070C0"/>
      </bottom>
      <diagonal/>
    </border>
    <border>
      <left style="hair">
        <color rgb="FF0070C0"/>
      </left>
      <right/>
      <top style="thin">
        <color rgb="FF0070C0"/>
      </top>
      <bottom style="thin">
        <color rgb="FF0070C0"/>
      </bottom>
      <diagonal/>
    </border>
    <border>
      <left/>
      <right/>
      <top style="thin">
        <color rgb="FF0070C0"/>
      </top>
      <bottom style="thin">
        <color rgb="FF0070C0"/>
      </bottom>
      <diagonal/>
    </border>
    <border>
      <left/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 style="hair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 style="thin">
        <color rgb="FF0070C0"/>
      </right>
      <top/>
      <bottom/>
      <diagonal/>
    </border>
    <border>
      <left style="thin">
        <color rgb="FF0070C0"/>
      </left>
      <right style="thin">
        <color rgb="FF0070C0"/>
      </right>
      <top/>
      <bottom style="thin">
        <color rgb="FF0070C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rgb="FF0070C0"/>
      </left>
      <right/>
      <top/>
      <bottom/>
      <diagonal/>
    </border>
    <border>
      <left style="hair">
        <color rgb="FF0070C0"/>
      </left>
      <right/>
      <top/>
      <bottom style="thin">
        <color rgb="FF0070C0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5">
    <xf numFmtId="0" fontId="0" fillId="0" borderId="0" xfId="0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1" xfId="0" applyFill="1" applyBorder="1"/>
    <xf numFmtId="0" fontId="0" fillId="5" borderId="10" xfId="0" applyFill="1" applyBorder="1" applyAlignment="1">
      <alignment horizontal="right"/>
    </xf>
    <xf numFmtId="0" fontId="0" fillId="5" borderId="12" xfId="0" applyFill="1" applyBorder="1"/>
    <xf numFmtId="0" fontId="0" fillId="5" borderId="13" xfId="0" applyFill="1" applyBorder="1"/>
    <xf numFmtId="0" fontId="0" fillId="5" borderId="0" xfId="0" applyFill="1" applyBorder="1" applyAlignment="1">
      <alignment horizontal="right"/>
    </xf>
    <xf numFmtId="0" fontId="0" fillId="5" borderId="0" xfId="0" applyFill="1" applyBorder="1"/>
    <xf numFmtId="0" fontId="0" fillId="4" borderId="14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15" borderId="14" xfId="0" applyFill="1" applyBorder="1"/>
    <xf numFmtId="0" fontId="0" fillId="16" borderId="0" xfId="0" applyFill="1"/>
    <xf numFmtId="0" fontId="0" fillId="16" borderId="0" xfId="0" applyFill="1" applyAlignment="1">
      <alignment horizontal="left"/>
    </xf>
    <xf numFmtId="0" fontId="3" fillId="0" borderId="0" xfId="1"/>
    <xf numFmtId="14" fontId="0" fillId="0" borderId="0" xfId="0" applyNumberFormat="1"/>
    <xf numFmtId="14" fontId="0" fillId="4" borderId="14" xfId="0" applyNumberFormat="1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165" fontId="0" fillId="0" borderId="0" xfId="0" applyNumberFormat="1"/>
    <xf numFmtId="0" fontId="0" fillId="0" borderId="0" xfId="0" applyFill="1" applyBorder="1"/>
    <xf numFmtId="0" fontId="0" fillId="15" borderId="16" xfId="0" applyFill="1" applyBorder="1" applyAlignment="1">
      <alignment horizontal="left"/>
    </xf>
    <xf numFmtId="0" fontId="0" fillId="13" borderId="18" xfId="0" applyFill="1" applyBorder="1" applyAlignment="1"/>
    <xf numFmtId="0" fontId="0" fillId="7" borderId="0" xfId="0" applyFill="1" applyBorder="1"/>
    <xf numFmtId="0" fontId="2" fillId="5" borderId="0" xfId="0" applyFont="1" applyFill="1" applyBorder="1" applyAlignment="1">
      <alignment horizontal="center"/>
    </xf>
    <xf numFmtId="0" fontId="0" fillId="6" borderId="8" xfId="0" applyFill="1" applyBorder="1"/>
    <xf numFmtId="164" fontId="0" fillId="6" borderId="9" xfId="0" applyNumberFormat="1" applyFill="1" applyBorder="1" applyAlignment="1">
      <alignment horizontal="left"/>
    </xf>
    <xf numFmtId="0" fontId="0" fillId="5" borderId="21" xfId="0" applyFill="1" applyBorder="1"/>
    <xf numFmtId="0" fontId="2" fillId="17" borderId="11" xfId="0" applyFont="1" applyFill="1" applyBorder="1" applyAlignment="1">
      <alignment horizontal="center"/>
    </xf>
    <xf numFmtId="165" fontId="0" fillId="6" borderId="9" xfId="0" applyNumberFormat="1" applyFill="1" applyBorder="1" applyAlignment="1">
      <alignment horizontal="left"/>
    </xf>
    <xf numFmtId="14" fontId="4" fillId="6" borderId="7" xfId="1" applyNumberFormat="1" applyFont="1" applyFill="1" applyBorder="1" applyAlignment="1">
      <alignment horizontal="left"/>
    </xf>
    <xf numFmtId="0" fontId="1" fillId="7" borderId="0" xfId="0" applyFont="1" applyFill="1" applyBorder="1" applyAlignment="1">
      <alignment horizontal="center" vertical="center"/>
    </xf>
    <xf numFmtId="0" fontId="3" fillId="6" borderId="8" xfId="1" applyFill="1" applyBorder="1" applyAlignment="1">
      <alignment horizontal="left"/>
    </xf>
    <xf numFmtId="0" fontId="0" fillId="6" borderId="8" xfId="0" applyFill="1" applyBorder="1" applyAlignment="1">
      <alignment horizontal="left"/>
    </xf>
    <xf numFmtId="0" fontId="0" fillId="6" borderId="9" xfId="0" applyFill="1" applyBorder="1" applyAlignment="1">
      <alignment horizontal="left"/>
    </xf>
    <xf numFmtId="0" fontId="0" fillId="6" borderId="2" xfId="0" applyFill="1" applyBorder="1" applyAlignment="1">
      <alignment horizontal="left" vertical="top"/>
    </xf>
    <xf numFmtId="0" fontId="0" fillId="6" borderId="3" xfId="0" applyFill="1" applyBorder="1" applyAlignment="1">
      <alignment horizontal="left" vertical="top"/>
    </xf>
    <xf numFmtId="0" fontId="0" fillId="6" borderId="19" xfId="0" applyFill="1" applyBorder="1" applyAlignment="1">
      <alignment horizontal="left" vertical="top"/>
    </xf>
    <xf numFmtId="0" fontId="0" fillId="6" borderId="0" xfId="0" applyFill="1" applyBorder="1" applyAlignment="1">
      <alignment horizontal="left" vertical="top"/>
    </xf>
    <xf numFmtId="0" fontId="0" fillId="6" borderId="4" xfId="0" applyFill="1" applyBorder="1" applyAlignment="1">
      <alignment horizontal="left" vertical="top"/>
    </xf>
    <xf numFmtId="0" fontId="0" fillId="6" borderId="20" xfId="0" applyFill="1" applyBorder="1" applyAlignment="1">
      <alignment horizontal="left" vertical="top"/>
    </xf>
    <xf numFmtId="0" fontId="0" fillId="6" borderId="5" xfId="0" applyFill="1" applyBorder="1" applyAlignment="1">
      <alignment horizontal="left" vertical="top"/>
    </xf>
    <xf numFmtId="0" fontId="0" fillId="6" borderId="6" xfId="0" applyFill="1" applyBorder="1" applyAlignment="1">
      <alignment horizontal="left" vertical="top"/>
    </xf>
    <xf numFmtId="0" fontId="3" fillId="6" borderId="7" xfId="1" applyFill="1" applyBorder="1" applyAlignment="1">
      <alignment horizontal="right"/>
    </xf>
    <xf numFmtId="0" fontId="0" fillId="6" borderId="8" xfId="0" applyFill="1" applyBorder="1" applyAlignment="1">
      <alignment horizontal="right"/>
    </xf>
    <xf numFmtId="0" fontId="0" fillId="6" borderId="9" xfId="0" applyFill="1" applyBorder="1" applyAlignment="1">
      <alignment horizontal="right"/>
    </xf>
    <xf numFmtId="0" fontId="0" fillId="8" borderId="14" xfId="0" applyFill="1" applyBorder="1" applyAlignment="1">
      <alignment horizontal="center"/>
    </xf>
    <xf numFmtId="0" fontId="0" fillId="13" borderId="16" xfId="0" applyFill="1" applyBorder="1" applyAlignment="1">
      <alignment horizontal="center"/>
    </xf>
    <xf numFmtId="0" fontId="0" fillId="13" borderId="17" xfId="0" applyFill="1" applyBorder="1" applyAlignment="1">
      <alignment horizontal="center"/>
    </xf>
    <xf numFmtId="0" fontId="0" fillId="14" borderId="14" xfId="0" applyFill="1" applyBorder="1" applyAlignment="1">
      <alignment horizontal="center"/>
    </xf>
    <xf numFmtId="0" fontId="0" fillId="10" borderId="14" xfId="0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List" dx="16" fmlaLink="$B$3" fmlaRange="ContactNames" noThreeD="1" sel="5" val="0"/>
</file>

<file path=xl/ctrlProps/ctrlProp2.xml><?xml version="1.0" encoding="utf-8"?>
<formControlPr xmlns="http://schemas.microsoft.com/office/spreadsheetml/2009/9/main" objectType="List" dx="16" fmlaLink="$B$14" fmlaRange="Emails" noThreeD="1" sel="1" val="0"/>
</file>

<file path=xl/ctrlProps/ctrlProp3.xml><?xml version="1.0" encoding="utf-8"?>
<formControlPr xmlns="http://schemas.microsoft.com/office/spreadsheetml/2009/9/main" objectType="List" dx="16" fmlaLink="$B$13" fmlaRange="Documents" noThreeD="1" sel="2" val="0"/>
</file>

<file path=xl/ctrlProps/ctrlProp4.xml><?xml version="1.0" encoding="utf-8"?>
<formControlPr xmlns="http://schemas.microsoft.com/office/spreadsheetml/2009/9/main" objectType="List" dx="16" fmlaLink="$B$7" fmlaRange="Documents" noThreeD="1" sel="1" val="0"/>
</file>

<file path=xl/ctrlProps/ctrlProp5.xml><?xml version="1.0" encoding="utf-8"?>
<formControlPr xmlns="http://schemas.microsoft.com/office/spreadsheetml/2009/9/main" objectType="List" dx="16" fmlaLink="$B$17" fmlaRange="ReminderSummary" noThreeD="1" sel="2" val="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133350</xdr:colOff>
      <xdr:row>0</xdr:row>
      <xdr:rowOff>0</xdr:rowOff>
    </xdr:from>
    <xdr:to>
      <xdr:col>1</xdr:col>
      <xdr:colOff>485775</xdr:colOff>
      <xdr:row>0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133350" y="0"/>
          <a:ext cx="1200150" cy="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r>
            <a:rPr lang="en-US" sz="1100"/>
            <a:t>New Contact</a:t>
          </a:r>
        </a:p>
      </xdr:txBody>
    </xdr:sp>
    <xdr:clientData/>
  </xdr:twoCellAnchor>
  <xdr:twoCellAnchor editAs="oneCell">
    <xdr:from>
      <xdr:col>2</xdr:col>
      <xdr:colOff>142875</xdr:colOff>
      <xdr:row>0</xdr:row>
      <xdr:rowOff>47624</xdr:rowOff>
    </xdr:from>
    <xdr:to>
      <xdr:col>51</xdr:col>
      <xdr:colOff>297516</xdr:colOff>
      <xdr:row>0</xdr:row>
      <xdr:rowOff>504824</xdr:rowOff>
    </xdr:to>
    <xdr:grpSp>
      <xdr:nvGrpSpPr>
        <xdr:cNvPr id="54" name="HomeBtn" hidden="1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GrpSpPr/>
      </xdr:nvGrpSpPr>
      <xdr:grpSpPr>
        <a:xfrm>
          <a:off x="1641475" y="47624"/>
          <a:ext cx="472141" cy="457200"/>
          <a:chOff x="1238250" y="76199"/>
          <a:chExt cx="457200" cy="457200"/>
        </a:xfrm>
      </xdr:grpSpPr>
      <xdr:sp macro="[0]!Show_Home" textlink="">
        <xdr:nvSpPr>
          <xdr:cNvPr id="53" name="Rectangle 52" hidden="1">
            <a:extLst>
              <a:ext uri="{FF2B5EF4-FFF2-40B4-BE49-F238E27FC236}">
                <a16:creationId xmlns:a16="http://schemas.microsoft.com/office/drawing/2014/main" id="{00000000-0008-0000-0000-000035000000}"/>
              </a:ext>
            </a:extLst>
          </xdr:cNvPr>
          <xdr:cNvSpPr/>
        </xdr:nvSpPr>
        <xdr:spPr>
          <a:xfrm>
            <a:off x="1238250" y="76199"/>
            <a:ext cx="457200" cy="457200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 macro="[0]!Show_Home">
        <xdr:nvPicPr>
          <xdr:cNvPr id="52" name="Picture 51" hidden="1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35048" y="167639"/>
            <a:ext cx="263605" cy="274320"/>
          </a:xfrm>
          <a:prstGeom prst="rect">
            <a:avLst/>
          </a:prstGeom>
        </xdr:spPr>
      </xdr:pic>
    </xdr:grpSp>
    <xdr:clientData/>
  </xdr:twoCellAnchor>
  <xdr:twoCellAnchor editAs="oneCell">
    <xdr:from>
      <xdr:col>51</xdr:col>
      <xdr:colOff>647140</xdr:colOff>
      <xdr:row>0</xdr:row>
      <xdr:rowOff>328893</xdr:rowOff>
    </xdr:from>
    <xdr:to>
      <xdr:col>51</xdr:col>
      <xdr:colOff>7237578</xdr:colOff>
      <xdr:row>22</xdr:row>
      <xdr:rowOff>33618</xdr:rowOff>
    </xdr:to>
    <xdr:grpSp>
      <xdr:nvGrpSpPr>
        <xdr:cNvPr id="42" name="HomeGrp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GrpSpPr/>
      </xdr:nvGrpSpPr>
      <xdr:grpSpPr>
        <a:xfrm>
          <a:off x="2463240" y="328893"/>
          <a:ext cx="6590438" cy="4162425"/>
          <a:chOff x="57569100" y="104775"/>
          <a:chExt cx="6581775" cy="4295775"/>
        </a:xfrm>
      </xdr:grpSpPr>
      <xdr:sp macro="[0]!Show_Contact" textlink="">
        <xdr:nvSpPr>
          <xdr:cNvPr id="21" name="Rectangle 20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/>
        </xdr:nvSpPr>
        <xdr:spPr>
          <a:xfrm>
            <a:off x="57616724" y="685800"/>
            <a:ext cx="2926080" cy="1828800"/>
          </a:xfrm>
          <a:prstGeom prst="rect">
            <a:avLst/>
          </a:prstGeom>
          <a:gradFill flip="none" rotWithShape="1">
            <a:gsLst>
              <a:gs pos="0">
                <a:schemeClr val="accent1">
                  <a:tint val="66000"/>
                  <a:satMod val="160000"/>
                </a:schemeClr>
              </a:gs>
              <a:gs pos="50000">
                <a:schemeClr val="accent1">
                  <a:tint val="44500"/>
                  <a:satMod val="160000"/>
                </a:schemeClr>
              </a:gs>
              <a:gs pos="100000">
                <a:schemeClr val="accent1">
                  <a:tint val="23500"/>
                  <a:satMod val="160000"/>
                </a:schemeClr>
              </a:gs>
            </a:gsLst>
            <a:lin ang="16200000" scaled="1"/>
            <a:tileRect/>
          </a:gradFill>
          <a:ln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400" b="1" i="1">
                <a:solidFill>
                  <a:srgbClr val="0070C0"/>
                </a:solidFill>
              </a:rPr>
              <a:t>CONTACTS</a:t>
            </a:r>
          </a:p>
        </xdr:txBody>
      </xdr:sp>
      <xdr:sp macro="[0]!Show_Document" textlink="">
        <xdr:nvSpPr>
          <xdr:cNvPr id="78" name="Rectangle 77">
            <a:extLst>
              <a:ext uri="{FF2B5EF4-FFF2-40B4-BE49-F238E27FC236}">
                <a16:creationId xmlns:a16="http://schemas.microsoft.com/office/drawing/2014/main" id="{00000000-0008-0000-0000-00004E000000}"/>
              </a:ext>
            </a:extLst>
          </xdr:cNvPr>
          <xdr:cNvSpPr/>
        </xdr:nvSpPr>
        <xdr:spPr>
          <a:xfrm>
            <a:off x="57616724" y="2571750"/>
            <a:ext cx="2926080" cy="1828800"/>
          </a:xfrm>
          <a:prstGeom prst="rect">
            <a:avLst/>
          </a:prstGeom>
          <a:gradFill flip="none" rotWithShape="1">
            <a:gsLst>
              <a:gs pos="0">
                <a:schemeClr val="accent1">
                  <a:tint val="66000"/>
                  <a:satMod val="160000"/>
                </a:schemeClr>
              </a:gs>
              <a:gs pos="50000">
                <a:schemeClr val="accent1">
                  <a:tint val="44500"/>
                  <a:satMod val="160000"/>
                </a:schemeClr>
              </a:gs>
              <a:gs pos="100000">
                <a:schemeClr val="accent1">
                  <a:tint val="23500"/>
                  <a:satMod val="160000"/>
                </a:schemeClr>
              </a:gs>
            </a:gsLst>
            <a:lin ang="16200000" scaled="1"/>
            <a:tileRect/>
          </a:gradFill>
          <a:ln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400" b="1" i="1">
                <a:solidFill>
                  <a:srgbClr val="0070C0"/>
                </a:solidFill>
              </a:rPr>
              <a:t>DOCUMENTS</a:t>
            </a:r>
          </a:p>
        </xdr:txBody>
      </xdr:sp>
      <xdr:sp macro="[0]!Show_Reminder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0000-00004F000000}"/>
              </a:ext>
            </a:extLst>
          </xdr:cNvPr>
          <xdr:cNvSpPr/>
        </xdr:nvSpPr>
        <xdr:spPr>
          <a:xfrm>
            <a:off x="60578999" y="2562225"/>
            <a:ext cx="2926080" cy="1828800"/>
          </a:xfrm>
          <a:prstGeom prst="rect">
            <a:avLst/>
          </a:prstGeom>
          <a:gradFill flip="none" rotWithShape="1">
            <a:gsLst>
              <a:gs pos="0">
                <a:schemeClr val="accent1">
                  <a:tint val="66000"/>
                  <a:satMod val="160000"/>
                </a:schemeClr>
              </a:gs>
              <a:gs pos="50000">
                <a:schemeClr val="accent1">
                  <a:tint val="44500"/>
                  <a:satMod val="160000"/>
                </a:schemeClr>
              </a:gs>
              <a:gs pos="100000">
                <a:schemeClr val="accent1">
                  <a:tint val="23500"/>
                  <a:satMod val="160000"/>
                </a:schemeClr>
              </a:gs>
            </a:gsLst>
            <a:lin ang="16200000" scaled="1"/>
            <a:tileRect/>
          </a:gradFill>
          <a:ln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400" b="1" i="1">
                <a:solidFill>
                  <a:srgbClr val="0070C0"/>
                </a:solidFill>
              </a:rPr>
              <a:t>REMINDERS &amp; ALERTS</a:t>
            </a:r>
          </a:p>
        </xdr:txBody>
      </xdr:sp>
      <xdr:sp macro="[0]!Show_Email" textlink="">
        <xdr:nvSpPr>
          <xdr:cNvPr id="80" name="Rectangle 79">
            <a:extLst>
              <a:ext uri="{FF2B5EF4-FFF2-40B4-BE49-F238E27FC236}">
                <a16:creationId xmlns:a16="http://schemas.microsoft.com/office/drawing/2014/main" id="{00000000-0008-0000-0000-000050000000}"/>
              </a:ext>
            </a:extLst>
          </xdr:cNvPr>
          <xdr:cNvSpPr/>
        </xdr:nvSpPr>
        <xdr:spPr>
          <a:xfrm>
            <a:off x="60578999" y="685800"/>
            <a:ext cx="2926080" cy="1828800"/>
          </a:xfrm>
          <a:prstGeom prst="rect">
            <a:avLst/>
          </a:prstGeom>
          <a:gradFill flip="none" rotWithShape="1">
            <a:gsLst>
              <a:gs pos="0">
                <a:schemeClr val="accent1">
                  <a:tint val="66000"/>
                  <a:satMod val="160000"/>
                </a:schemeClr>
              </a:gs>
              <a:gs pos="50000">
                <a:schemeClr val="accent1">
                  <a:tint val="44500"/>
                  <a:satMod val="160000"/>
                </a:schemeClr>
              </a:gs>
              <a:gs pos="100000">
                <a:schemeClr val="accent1">
                  <a:tint val="23500"/>
                  <a:satMod val="160000"/>
                </a:schemeClr>
              </a:gs>
            </a:gsLst>
            <a:lin ang="16200000" scaled="1"/>
            <a:tileRect/>
          </a:gradFill>
          <a:ln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400" b="1" i="1">
                <a:solidFill>
                  <a:srgbClr val="0070C0"/>
                </a:solidFill>
              </a:rPr>
              <a:t>EMAIL MANAGEMENT</a:t>
            </a:r>
          </a:p>
        </xdr:txBody>
      </xdr:sp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/>
        </xdr:nvSpPr>
        <xdr:spPr>
          <a:xfrm>
            <a:off x="57569100" y="104775"/>
            <a:ext cx="6581775" cy="5334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000" b="1">
                <a:solidFill>
                  <a:srgbClr val="0070C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 Rounded MT Bold" panose="020F0704030504030204" pitchFamily="34" charset="0"/>
              </a:rPr>
              <a:t>MINI CRM APPLICATION</a:t>
            </a:r>
          </a:p>
        </xdr:txBody>
      </xdr:sp>
      <xdr:sp macro="" textlink="">
        <xdr:nvSpPr>
          <xdr:cNvPr id="20" name="Pie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59626500" y="1609725"/>
            <a:ext cx="1828800" cy="1828800"/>
          </a:xfrm>
          <a:prstGeom prst="pie">
            <a:avLst>
              <a:gd name="adj1" fmla="val 10800000"/>
              <a:gd name="adj2" fmla="val 16200000"/>
            </a:avLst>
          </a:prstGeom>
          <a:solidFill>
            <a:schemeClr val="tx2">
              <a:lumMod val="7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71" name="Pie 70">
            <a:extLst>
              <a:ext uri="{FF2B5EF4-FFF2-40B4-BE49-F238E27FC236}">
                <a16:creationId xmlns:a16="http://schemas.microsoft.com/office/drawing/2014/main" id="{00000000-0008-0000-0000-000047000000}"/>
              </a:ext>
            </a:extLst>
          </xdr:cNvPr>
          <xdr:cNvSpPr/>
        </xdr:nvSpPr>
        <xdr:spPr>
          <a:xfrm flipH="1">
            <a:off x="59674125" y="1609725"/>
            <a:ext cx="1828800" cy="1828800"/>
          </a:xfrm>
          <a:prstGeom prst="pie">
            <a:avLst>
              <a:gd name="adj1" fmla="val 10800000"/>
              <a:gd name="adj2" fmla="val 16200000"/>
            </a:avLst>
          </a:prstGeom>
          <a:solidFill>
            <a:schemeClr val="tx2">
              <a:lumMod val="7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74" name="Pie 73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/>
        </xdr:nvSpPr>
        <xdr:spPr>
          <a:xfrm flipV="1">
            <a:off x="59626500" y="1647825"/>
            <a:ext cx="1828800" cy="1828800"/>
          </a:xfrm>
          <a:prstGeom prst="pie">
            <a:avLst>
              <a:gd name="adj1" fmla="val 10800000"/>
              <a:gd name="adj2" fmla="val 16200000"/>
            </a:avLst>
          </a:prstGeom>
          <a:solidFill>
            <a:schemeClr val="tx2">
              <a:lumMod val="7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77" name="Pie 76">
            <a:extLst>
              <a:ext uri="{FF2B5EF4-FFF2-40B4-BE49-F238E27FC236}">
                <a16:creationId xmlns:a16="http://schemas.microsoft.com/office/drawing/2014/main" id="{00000000-0008-0000-0000-00004D000000}"/>
              </a:ext>
            </a:extLst>
          </xdr:cNvPr>
          <xdr:cNvSpPr/>
        </xdr:nvSpPr>
        <xdr:spPr>
          <a:xfrm flipH="1" flipV="1">
            <a:off x="59674125" y="1647825"/>
            <a:ext cx="1828800" cy="1828800"/>
          </a:xfrm>
          <a:prstGeom prst="pie">
            <a:avLst>
              <a:gd name="adj1" fmla="val 10800000"/>
              <a:gd name="adj2" fmla="val 16200000"/>
            </a:avLst>
          </a:prstGeom>
          <a:solidFill>
            <a:schemeClr val="tx2">
              <a:lumMod val="7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pic macro="[0]!Show_Reminder">
        <xdr:nvPicPr>
          <xdr:cNvPr id="24" name="Picture 23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1948200" y="3017025"/>
            <a:ext cx="914400" cy="914400"/>
          </a:xfrm>
          <a:prstGeom prst="rect">
            <a:avLst/>
          </a:prstGeom>
        </xdr:spPr>
      </xdr:pic>
      <xdr:pic macro="[0]!Show_Reminder">
        <xdr:nvPicPr>
          <xdr:cNvPr id="25" name="Picture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0772987" y="2671725"/>
            <a:ext cx="457200" cy="457200"/>
          </a:xfrm>
          <a:prstGeom prst="rect">
            <a:avLst/>
          </a:prstGeom>
        </xdr:spPr>
      </xdr:pic>
      <xdr:pic macro="[0]!Show_Contact">
        <xdr:nvPicPr>
          <xdr:cNvPr id="28" name="Picture 27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356798" y="1192073"/>
            <a:ext cx="800100" cy="914400"/>
          </a:xfrm>
          <a:prstGeom prst="rect">
            <a:avLst/>
          </a:prstGeom>
        </xdr:spPr>
      </xdr:pic>
      <xdr:pic macro="[0]!Show_Contact">
        <xdr:nvPicPr>
          <xdr:cNvPr id="29" name="Picture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0043125" y="1912050"/>
            <a:ext cx="400050" cy="457200"/>
          </a:xfrm>
          <a:prstGeom prst="rect">
            <a:avLst/>
          </a:prstGeom>
        </xdr:spPr>
      </xdr:pic>
      <xdr:pic macro="[0]!Show_Email">
        <xdr:nvPicPr>
          <xdr:cNvPr id="35" name="Picture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0744412" y="1954875"/>
            <a:ext cx="457200" cy="457200"/>
          </a:xfrm>
          <a:prstGeom prst="rect">
            <a:avLst/>
          </a:prstGeom>
        </xdr:spPr>
      </xdr:pic>
      <xdr:pic macro="[0]!Show_Email">
        <xdr:nvPicPr>
          <xdr:cNvPr id="36" name="Picture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1910669" y="1137685"/>
            <a:ext cx="914400" cy="914400"/>
          </a:xfrm>
          <a:prstGeom prst="rect">
            <a:avLst/>
          </a:prstGeom>
        </xdr:spPr>
      </xdr:pic>
      <xdr:pic>
        <xdr:nvPicPr>
          <xdr:cNvPr id="37" name="Picture 3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7702694" y="108736"/>
            <a:ext cx="685557" cy="465965"/>
          </a:xfrm>
          <a:prstGeom prst="rect">
            <a:avLst/>
          </a:pr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</xdr:pic>
      <xdr:pic macro="[0]!Show_Document">
        <xdr:nvPicPr>
          <xdr:cNvPr id="38" name="Picture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478550" y="3109725"/>
            <a:ext cx="914400" cy="914400"/>
          </a:xfrm>
          <a:prstGeom prst="rect">
            <a:avLst/>
          </a:prstGeom>
        </xdr:spPr>
      </xdr:pic>
      <xdr:pic macro="[0]!Show_Document">
        <xdr:nvPicPr>
          <xdr:cNvPr id="39" name="Picture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0057300" y="2659650"/>
            <a:ext cx="457200" cy="457200"/>
          </a:xfrm>
          <a:prstGeom prst="rect">
            <a:avLst/>
          </a:prstGeom>
        </xdr:spPr>
      </xdr:pic>
      <xdr:pic macro="[0]!Show_Document">
        <xdr:nvPicPr>
          <xdr:cNvPr id="40" name="Picture 39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0026326" y="2762025"/>
            <a:ext cx="522515" cy="457200"/>
          </a:xfrm>
          <a:prstGeom prst="rect">
            <a:avLst/>
          </a:prstGeom>
        </xdr:spPr>
      </xdr:pic>
    </xdr:grpSp>
    <xdr:clientData/>
  </xdr:twoCellAnchor>
  <xdr:twoCellAnchor editAs="oneCell">
    <xdr:from>
      <xdr:col>40</xdr:col>
      <xdr:colOff>45951</xdr:colOff>
      <xdr:row>0</xdr:row>
      <xdr:rowOff>85725</xdr:rowOff>
    </xdr:from>
    <xdr:to>
      <xdr:col>51</xdr:col>
      <xdr:colOff>5761860</xdr:colOff>
      <xdr:row>12</xdr:row>
      <xdr:rowOff>182377</xdr:rowOff>
    </xdr:to>
    <xdr:grpSp>
      <xdr:nvGrpSpPr>
        <xdr:cNvPr id="65" name="RemindersGrp" hidden="1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GrpSpPr/>
      </xdr:nvGrpSpPr>
      <xdr:grpSpPr>
        <a:xfrm>
          <a:off x="1816100" y="85725"/>
          <a:ext cx="5761860" cy="2712852"/>
          <a:chOff x="35295911" y="85725"/>
          <a:chExt cx="5818129" cy="2781761"/>
        </a:xfrm>
      </xdr:grpSpPr>
      <xdr:grpSp>
        <xdr:nvGrpSpPr>
          <xdr:cNvPr id="149" name="Group 148" hidden="1">
            <a:extLst>
              <a:ext uri="{FF2B5EF4-FFF2-40B4-BE49-F238E27FC236}">
                <a16:creationId xmlns:a16="http://schemas.microsoft.com/office/drawing/2014/main" id="{00000000-0008-0000-0000-000095000000}"/>
              </a:ext>
            </a:extLst>
          </xdr:cNvPr>
          <xdr:cNvGrpSpPr/>
        </xdr:nvGrpSpPr>
        <xdr:grpSpPr>
          <a:xfrm>
            <a:off x="35605263" y="85725"/>
            <a:ext cx="437801" cy="418726"/>
            <a:chOff x="56330850" y="323850"/>
            <a:chExt cx="419100" cy="419100"/>
          </a:xfrm>
        </xdr:grpSpPr>
        <xdr:sp macro="[0]!Show_Home" textlink="">
          <xdr:nvSpPr>
            <xdr:cNvPr id="155" name="Rectangle 154" hidden="1">
              <a:extLst>
                <a:ext uri="{FF2B5EF4-FFF2-40B4-BE49-F238E27FC236}">
                  <a16:creationId xmlns:a16="http://schemas.microsoft.com/office/drawing/2014/main" id="{00000000-0008-0000-0000-00009B000000}"/>
                </a:ext>
              </a:extLst>
            </xdr:cNvPr>
            <xdr:cNvSpPr/>
          </xdr:nvSpPr>
          <xdr:spPr>
            <a:xfrm>
              <a:off x="56330850" y="323850"/>
              <a:ext cx="419100" cy="419100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pic macro="[0]!Show_Home">
          <xdr:nvPicPr>
            <xdr:cNvPr id="156" name="Picture 155" hidden="1">
              <a:extLst>
                <a:ext uri="{FF2B5EF4-FFF2-40B4-BE49-F238E27FC236}">
                  <a16:creationId xmlns:a16="http://schemas.microsoft.com/office/drawing/2014/main" id="{00000000-0008-0000-0000-00009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6408598" y="396240"/>
              <a:ext cx="263604" cy="274320"/>
            </a:xfrm>
            <a:prstGeom prst="rect">
              <a:avLst/>
            </a:prstGeom>
          </xdr:spPr>
        </xdr:pic>
      </xdr:grpSp>
      <xdr:sp macro="[0]!Reminder_Save" textlink="">
        <xdr:nvSpPr>
          <xdr:cNvPr id="150" name="Rectangle 149" hidden="1">
            <a:extLst>
              <a:ext uri="{FF2B5EF4-FFF2-40B4-BE49-F238E27FC236}">
                <a16:creationId xmlns:a16="http://schemas.microsoft.com/office/drawing/2014/main" id="{00000000-0008-0000-0000-000096000000}"/>
              </a:ext>
            </a:extLst>
          </xdr:cNvPr>
          <xdr:cNvSpPr/>
        </xdr:nvSpPr>
        <xdr:spPr>
          <a:xfrm>
            <a:off x="38375236" y="571066"/>
            <a:ext cx="1313404" cy="247429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 b="1"/>
              <a:t>Save</a:t>
            </a:r>
            <a:r>
              <a:rPr lang="en-US" sz="1100" b="1" baseline="0"/>
              <a:t> Reminder</a:t>
            </a:r>
            <a:endParaRPr lang="en-US" sz="1100" b="1"/>
          </a:p>
        </xdr:txBody>
      </xdr:sp>
      <xdr:sp macro="[0]!Reminder_New" textlink="">
        <xdr:nvSpPr>
          <xdr:cNvPr id="151" name="Rectangle 150" hidden="1">
            <a:extLst>
              <a:ext uri="{FF2B5EF4-FFF2-40B4-BE49-F238E27FC236}">
                <a16:creationId xmlns:a16="http://schemas.microsoft.com/office/drawing/2014/main" id="{00000000-0008-0000-0000-000097000000}"/>
              </a:ext>
            </a:extLst>
          </xdr:cNvPr>
          <xdr:cNvSpPr/>
        </xdr:nvSpPr>
        <xdr:spPr>
          <a:xfrm>
            <a:off x="39851543" y="571066"/>
            <a:ext cx="1262497" cy="247429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 b="1"/>
              <a:t>New</a:t>
            </a:r>
            <a:r>
              <a:rPr lang="en-US" sz="1100" b="1" baseline="0"/>
              <a:t> Reminder</a:t>
            </a:r>
            <a:endParaRPr lang="en-US" sz="1100" b="1"/>
          </a:p>
        </xdr:txBody>
      </xdr:sp>
      <xdr:pic macro="[0]!Reminder_New">
        <xdr:nvPicPr>
          <xdr:cNvPr id="152" name="Picture 151" hidden="1">
            <a:extLst>
              <a:ext uri="{FF2B5EF4-FFF2-40B4-BE49-F238E27FC236}">
                <a16:creationId xmlns:a16="http://schemas.microsoft.com/office/drawing/2014/main" id="{00000000-0008-0000-0000-00009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9867592" y="594286"/>
            <a:ext cx="222321" cy="200988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8" name="List Box 24" hidden="1">
                <a:extLst>
                  <a:ext uri="{63B3BB69-23CF-44E3-9099-C40C66FF867C}">
                    <a14:compatExt spid="_x0000_s1048"/>
                  </a:ext>
                  <a:ext uri="{FF2B5EF4-FFF2-40B4-BE49-F238E27FC236}">
                    <a16:creationId xmlns:a16="http://schemas.microsoft.com/office/drawing/2014/main" id="{00000000-0008-0000-0000-000018040000}"/>
                  </a:ext>
                </a:extLst>
              </xdr:cNvPr>
              <xdr:cNvSpPr/>
            </xdr:nvSpPr>
            <xdr:spPr bwMode="auto">
              <a:xfrm>
                <a:off x="35295911" y="792889"/>
                <a:ext cx="1526968" cy="207459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 macro="[0]!Reminder_Save">
        <xdr:nvPicPr>
          <xdr:cNvPr id="154" name="Picture 153" hidden="1">
            <a:extLst>
              <a:ext uri="{FF2B5EF4-FFF2-40B4-BE49-F238E27FC236}">
                <a16:creationId xmlns:a16="http://schemas.microsoft.com/office/drawing/2014/main" id="{00000000-0008-0000-0000-00009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8395641" y="594285"/>
            <a:ext cx="215032" cy="200988"/>
          </a:xfrm>
          <a:prstGeom prst="rect">
            <a:avLst/>
          </a:prstGeom>
        </xdr:spPr>
      </xdr:pic>
      <xdr:pic>
        <xdr:nvPicPr>
          <xdr:cNvPr id="157" name="Picture 156" hidden="1">
            <a:extLst>
              <a:ext uri="{FF2B5EF4-FFF2-40B4-BE49-F238E27FC236}">
                <a16:creationId xmlns:a16="http://schemas.microsoft.com/office/drawing/2014/main" id="{00000000-0008-0000-0000-00009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7587673" y="180983"/>
            <a:ext cx="456694" cy="449952"/>
          </a:xfrm>
          <a:prstGeom prst="rect">
            <a:avLst/>
          </a:prstGeom>
        </xdr:spPr>
      </xdr:pic>
    </xdr:grpSp>
    <xdr:clientData/>
  </xdr:twoCellAnchor>
  <xdr:twoCellAnchor editAs="oneCell">
    <xdr:from>
      <xdr:col>3</xdr:col>
      <xdr:colOff>9524</xdr:colOff>
      <xdr:row>0</xdr:row>
      <xdr:rowOff>81049</xdr:rowOff>
    </xdr:from>
    <xdr:to>
      <xdr:col>51</xdr:col>
      <xdr:colOff>6844147</xdr:colOff>
      <xdr:row>12</xdr:row>
      <xdr:rowOff>180975</xdr:rowOff>
    </xdr:to>
    <xdr:grpSp>
      <xdr:nvGrpSpPr>
        <xdr:cNvPr id="81" name="ContactGrp" hidden="1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GrpSpPr/>
      </xdr:nvGrpSpPr>
      <xdr:grpSpPr>
        <a:xfrm>
          <a:off x="1816100" y="81049"/>
          <a:ext cx="6844147" cy="2716126"/>
          <a:chOff x="1762124" y="81049"/>
          <a:chExt cx="7263849" cy="2785052"/>
        </a:xfrm>
      </xdr:grpSpPr>
      <xdr:grpSp>
        <xdr:nvGrpSpPr>
          <xdr:cNvPr id="44" name="Group 43" hidden="1"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GrpSpPr/>
        </xdr:nvGrpSpPr>
        <xdr:grpSpPr>
          <a:xfrm>
            <a:off x="2464076" y="85725"/>
            <a:ext cx="409575" cy="419100"/>
            <a:chOff x="56330850" y="323850"/>
            <a:chExt cx="419100" cy="419100"/>
          </a:xfrm>
        </xdr:grpSpPr>
        <xdr:sp macro="[0]!Show_Home" textlink="">
          <xdr:nvSpPr>
            <xdr:cNvPr id="43" name="Rectangle 42" hidden="1">
              <a:extLst>
                <a:ext uri="{FF2B5EF4-FFF2-40B4-BE49-F238E27FC236}">
                  <a16:creationId xmlns:a16="http://schemas.microsoft.com/office/drawing/2014/main" id="{00000000-0008-0000-0000-00002B000000}"/>
                </a:ext>
              </a:extLst>
            </xdr:cNvPr>
            <xdr:cNvSpPr/>
          </xdr:nvSpPr>
          <xdr:spPr>
            <a:xfrm>
              <a:off x="56330850" y="323850"/>
              <a:ext cx="419100" cy="419100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pic macro="[0]!Show_Home">
          <xdr:nvPicPr>
            <xdr:cNvPr id="41" name="Picture 40" hidden="1">
              <a:extLst>
                <a:ext uri="{FF2B5EF4-FFF2-40B4-BE49-F238E27FC236}">
                  <a16:creationId xmlns:a16="http://schemas.microsoft.com/office/drawing/2014/main" id="{00000000-0008-0000-0000-000029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6408598" y="396240"/>
              <a:ext cx="263604" cy="274320"/>
            </a:xfrm>
            <a:prstGeom prst="rect">
              <a:avLst/>
            </a:prstGeom>
          </xdr:spPr>
        </xdr:pic>
      </xdr:grpSp>
      <xdr:sp macro="[0]!Contact_Save" textlink="">
        <xdr:nvSpPr>
          <xdr:cNvPr id="50" name="Rectangle 49" hidden="1">
            <a:extLst>
              <a:ext uri="{FF2B5EF4-FFF2-40B4-BE49-F238E27FC236}">
                <a16:creationId xmlns:a16="http://schemas.microsoft.com/office/drawing/2014/main" id="{00000000-0008-0000-0000-000032000000}"/>
              </a:ext>
            </a:extLst>
          </xdr:cNvPr>
          <xdr:cNvSpPr/>
        </xdr:nvSpPr>
        <xdr:spPr>
          <a:xfrm>
            <a:off x="6645011" y="547688"/>
            <a:ext cx="1133338" cy="247385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 b="1"/>
              <a:t>Save Conact</a:t>
            </a:r>
          </a:p>
        </xdr:txBody>
      </xdr:sp>
      <xdr:sp macro="" textlink="">
        <xdr:nvSpPr>
          <xdr:cNvPr id="93" name="Rectangle 92" hidden="1">
            <a:extLst>
              <a:ext uri="{FF2B5EF4-FFF2-40B4-BE49-F238E27FC236}">
                <a16:creationId xmlns:a16="http://schemas.microsoft.com/office/drawing/2014/main" id="{00000000-0008-0000-0000-00005D000000}"/>
              </a:ext>
            </a:extLst>
          </xdr:cNvPr>
          <xdr:cNvSpPr/>
        </xdr:nvSpPr>
        <xdr:spPr>
          <a:xfrm>
            <a:off x="7892635" y="547688"/>
            <a:ext cx="1133338" cy="247385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 b="1"/>
              <a:t>New Conact</a:t>
            </a:r>
          </a:p>
        </xdr:txBody>
      </xdr:sp>
      <xdr:pic>
        <xdr:nvPicPr>
          <xdr:cNvPr id="23" name="Picture 22" hidden="1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68826" y="570904"/>
            <a:ext cx="201144" cy="200952"/>
          </a:xfrm>
          <a:prstGeom prst="rect">
            <a:avLst/>
          </a:prstGeom>
        </xdr:spPr>
      </xdr:pic>
      <xdr:pic macro="[0]!Contact_Save">
        <xdr:nvPicPr>
          <xdr:cNvPr id="26" name="Picture 25" hidden="1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704479" y="570904"/>
            <a:ext cx="201144" cy="200952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0" name="List Box 16" hidden="1">
                <a:extLst>
                  <a:ext uri="{63B3BB69-23CF-44E3-9099-C40C66FF867C}">
                    <a14:compatExt spid="_x0000_s1040"/>
                  </a:ext>
                  <a:ext uri="{FF2B5EF4-FFF2-40B4-BE49-F238E27FC236}">
                    <a16:creationId xmlns:a16="http://schemas.microsoft.com/office/drawing/2014/main" id="{00000000-0008-0000-0000-000010040000}"/>
                  </a:ext>
                </a:extLst>
              </xdr:cNvPr>
              <xdr:cNvSpPr/>
            </xdr:nvSpPr>
            <xdr:spPr bwMode="auto">
              <a:xfrm flipH="1">
                <a:off x="1762124" y="791873"/>
                <a:ext cx="1163431" cy="2074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158" name="Picture 157" hidden="1">
            <a:extLst>
              <a:ext uri="{FF2B5EF4-FFF2-40B4-BE49-F238E27FC236}">
                <a16:creationId xmlns:a16="http://schemas.microsoft.com/office/drawing/2014/main" id="{00000000-0008-0000-0000-00009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968530" y="81049"/>
            <a:ext cx="399607" cy="457200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263526</xdr:colOff>
      <xdr:row>0</xdr:row>
      <xdr:rowOff>85725</xdr:rowOff>
    </xdr:from>
    <xdr:to>
      <xdr:col>51</xdr:col>
      <xdr:colOff>8283432</xdr:colOff>
      <xdr:row>13</xdr:row>
      <xdr:rowOff>66679</xdr:rowOff>
    </xdr:to>
    <xdr:grpSp>
      <xdr:nvGrpSpPr>
        <xdr:cNvPr id="67" name="EmailGrp" hidden="1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pSpPr/>
      </xdr:nvGrpSpPr>
      <xdr:grpSpPr>
        <a:xfrm>
          <a:off x="1762126" y="85725"/>
          <a:ext cx="8337406" cy="2781304"/>
          <a:chOff x="12267787" y="85725"/>
          <a:chExt cx="8340582" cy="2778819"/>
        </a:xfrm>
      </xdr:grpSpPr>
      <xdr:grpSp>
        <xdr:nvGrpSpPr>
          <xdr:cNvPr id="115" name="Group 114" hidden="1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GrpSpPr/>
        </xdr:nvGrpSpPr>
        <xdr:grpSpPr>
          <a:xfrm>
            <a:off x="12544217" y="85725"/>
            <a:ext cx="409880" cy="418726"/>
            <a:chOff x="56330850" y="323850"/>
            <a:chExt cx="419100" cy="419100"/>
          </a:xfrm>
        </xdr:grpSpPr>
        <xdr:sp macro="[0]!Show_Home" textlink="">
          <xdr:nvSpPr>
            <xdr:cNvPr id="116" name="Rectangle 115" hidden="1">
              <a:extLst>
                <a:ext uri="{FF2B5EF4-FFF2-40B4-BE49-F238E27FC236}">
                  <a16:creationId xmlns:a16="http://schemas.microsoft.com/office/drawing/2014/main" id="{00000000-0008-0000-0000-000074000000}"/>
                </a:ext>
              </a:extLst>
            </xdr:cNvPr>
            <xdr:cNvSpPr/>
          </xdr:nvSpPr>
          <xdr:spPr>
            <a:xfrm>
              <a:off x="56330850" y="323850"/>
              <a:ext cx="419100" cy="419100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pic macro="[0]!Show_Home">
          <xdr:nvPicPr>
            <xdr:cNvPr id="117" name="Picture 116" hidden="1">
              <a:extLst>
                <a:ext uri="{FF2B5EF4-FFF2-40B4-BE49-F238E27FC236}">
                  <a16:creationId xmlns:a16="http://schemas.microsoft.com/office/drawing/2014/main" id="{00000000-0008-0000-0000-00007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6408598" y="396240"/>
              <a:ext cx="263604" cy="274320"/>
            </a:xfrm>
            <a:prstGeom prst="rect">
              <a:avLst/>
            </a:prstGeom>
          </xdr:spPr>
        </xdr:pic>
      </xdr:grpSp>
      <xdr:grpSp>
        <xdr:nvGrpSpPr>
          <xdr:cNvPr id="118" name="Group 117" hidden="1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GrpSpPr/>
        </xdr:nvGrpSpPr>
        <xdr:grpSpPr>
          <a:xfrm>
            <a:off x="12267787" y="547276"/>
            <a:ext cx="6748726" cy="2317268"/>
            <a:chOff x="2190751" y="547688"/>
            <a:chExt cx="6743699" cy="2319338"/>
          </a:xfrm>
        </xdr:grpSpPr>
        <xdr:sp macro="[0]!Email_Send" textlink="">
          <xdr:nvSpPr>
            <xdr:cNvPr id="119" name="Rectangle 118" hidden="1">
              <a:extLst>
                <a:ext uri="{FF2B5EF4-FFF2-40B4-BE49-F238E27FC236}">
                  <a16:creationId xmlns:a16="http://schemas.microsoft.com/office/drawing/2014/main" id="{00000000-0008-0000-0000-000077000000}"/>
                </a:ext>
              </a:extLst>
            </xdr:cNvPr>
            <xdr:cNvSpPr/>
          </xdr:nvSpPr>
          <xdr:spPr>
            <a:xfrm>
              <a:off x="6648450" y="547688"/>
              <a:ext cx="1133475" cy="247650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/>
              <a:r>
                <a:rPr lang="en-US" sz="1100" b="1"/>
                <a:t>Send Email</a:t>
              </a:r>
            </a:p>
          </xdr:txBody>
        </xdr:sp>
        <xdr:sp macro="[0]!Email_New" textlink="">
          <xdr:nvSpPr>
            <xdr:cNvPr id="120" name="Rectangle 119" hidden="1">
              <a:extLst>
                <a:ext uri="{FF2B5EF4-FFF2-40B4-BE49-F238E27FC236}">
                  <a16:creationId xmlns:a16="http://schemas.microsoft.com/office/drawing/2014/main" id="{00000000-0008-0000-0000-000078000000}"/>
                </a:ext>
              </a:extLst>
            </xdr:cNvPr>
            <xdr:cNvSpPr/>
          </xdr:nvSpPr>
          <xdr:spPr>
            <a:xfrm>
              <a:off x="7896226" y="547688"/>
              <a:ext cx="1038224" cy="247650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/>
              <a:r>
                <a:rPr lang="en-US" sz="1100" b="1"/>
                <a:t>New Email</a:t>
              </a:r>
            </a:p>
          </xdr:txBody>
        </xdr:sp>
        <xdr:pic macro="[0]!Email_New">
          <xdr:nvPicPr>
            <xdr:cNvPr id="121" name="Picture 120" hidden="1">
              <a:extLst>
                <a:ext uri="{FF2B5EF4-FFF2-40B4-BE49-F238E27FC236}">
                  <a16:creationId xmlns:a16="http://schemas.microsoft.com/office/drawing/2014/main" id="{00000000-0008-0000-0000-000079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72425" y="570929"/>
              <a:ext cx="201168" cy="201168"/>
            </a:xfrm>
            <a:prstGeom prst="rect">
              <a:avLst/>
            </a:prstGeom>
          </xdr:spPr>
        </xdr:pic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044" name="List Box 20" hidden="1">
                  <a:extLst>
                    <a:ext uri="{63B3BB69-23CF-44E3-9099-C40C66FF867C}">
                      <a14:compatExt spid="_x0000_s1044"/>
                    </a:ext>
                    <a:ext uri="{FF2B5EF4-FFF2-40B4-BE49-F238E27FC236}">
                      <a16:creationId xmlns:a16="http://schemas.microsoft.com/office/drawing/2014/main" id="{00000000-0008-0000-0000-000014040000}"/>
                    </a:ext>
                  </a:extLst>
                </xdr:cNvPr>
                <xdr:cNvSpPr/>
              </xdr:nvSpPr>
              <xdr:spPr bwMode="auto">
                <a:xfrm>
                  <a:off x="2190751" y="790574"/>
                  <a:ext cx="1085850" cy="2076452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</xdr:grpSp>
      <xdr:pic macro="[0]!Email_Send">
        <xdr:nvPicPr>
          <xdr:cNvPr id="124" name="Picture 123" hidden="1">
            <a:extLst>
              <a:ext uri="{FF2B5EF4-FFF2-40B4-BE49-F238E27FC236}">
                <a16:creationId xmlns:a16="http://schemas.microsoft.com/office/drawing/2014/main" id="{00000000-0008-0000-0000-00007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824130" y="561549"/>
            <a:ext cx="201318" cy="200988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5" name="List Box 21" hidden="1">
                <a:extLst>
                  <a:ext uri="{63B3BB69-23CF-44E3-9099-C40C66FF867C}">
                    <a14:compatExt spid="_x0000_s1045"/>
                  </a:ext>
                  <a:ext uri="{FF2B5EF4-FFF2-40B4-BE49-F238E27FC236}">
                    <a16:creationId xmlns:a16="http://schemas.microsoft.com/office/drawing/2014/main" id="{00000000-0008-0000-0000-000015040000}"/>
                  </a:ext>
                </a:extLst>
              </xdr:cNvPr>
              <xdr:cNvSpPr/>
            </xdr:nvSpPr>
            <xdr:spPr bwMode="auto">
              <a:xfrm>
                <a:off x="19426389" y="789945"/>
                <a:ext cx="1181980" cy="207459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159" name="Picture 158" hidden="1">
            <a:extLst>
              <a:ext uri="{FF2B5EF4-FFF2-40B4-BE49-F238E27FC236}">
                <a16:creationId xmlns:a16="http://schemas.microsoft.com/office/drawing/2014/main" id="{00000000-0008-0000-0000-00009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824551" y="142876"/>
            <a:ext cx="456694" cy="449952"/>
          </a:xfrm>
          <a:prstGeom prst="rect">
            <a:avLst/>
          </a:prstGeom>
        </xdr:spPr>
      </xdr:pic>
    </xdr:grpSp>
    <xdr:clientData/>
  </xdr:twoCellAnchor>
  <xdr:twoCellAnchor editAs="oneCell">
    <xdr:from>
      <xdr:col>26</xdr:col>
      <xdr:colOff>9525</xdr:colOff>
      <xdr:row>0</xdr:row>
      <xdr:rowOff>59474</xdr:rowOff>
    </xdr:from>
    <xdr:to>
      <xdr:col>51</xdr:col>
      <xdr:colOff>6975459</xdr:colOff>
      <xdr:row>12</xdr:row>
      <xdr:rowOff>180975</xdr:rowOff>
    </xdr:to>
    <xdr:grpSp>
      <xdr:nvGrpSpPr>
        <xdr:cNvPr id="66" name="DocumentGrp" hidden="1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GrpSpPr/>
      </xdr:nvGrpSpPr>
      <xdr:grpSpPr>
        <a:xfrm>
          <a:off x="1816100" y="59474"/>
          <a:ext cx="6975459" cy="2737701"/>
          <a:chOff x="23060029" y="59474"/>
          <a:chExt cx="6972710" cy="2805066"/>
        </a:xfrm>
      </xdr:grpSpPr>
      <xdr:grpSp>
        <xdr:nvGrpSpPr>
          <xdr:cNvPr id="135" name="Group 134" hidden="1">
            <a:extLst>
              <a:ext uri="{FF2B5EF4-FFF2-40B4-BE49-F238E27FC236}">
                <a16:creationId xmlns:a16="http://schemas.microsoft.com/office/drawing/2014/main" id="{00000000-0008-0000-0000-000087000000}"/>
              </a:ext>
            </a:extLst>
          </xdr:cNvPr>
          <xdr:cNvGrpSpPr/>
        </xdr:nvGrpSpPr>
        <xdr:grpSpPr>
          <a:xfrm>
            <a:off x="23336266" y="85725"/>
            <a:ext cx="409599" cy="418726"/>
            <a:chOff x="56330850" y="323850"/>
            <a:chExt cx="419100" cy="419100"/>
          </a:xfrm>
        </xdr:grpSpPr>
        <xdr:sp macro="[0]!Show_Home" textlink="">
          <xdr:nvSpPr>
            <xdr:cNvPr id="136" name="Rectangle 135" hidden="1">
              <a:extLst>
                <a:ext uri="{FF2B5EF4-FFF2-40B4-BE49-F238E27FC236}">
                  <a16:creationId xmlns:a16="http://schemas.microsoft.com/office/drawing/2014/main" id="{00000000-0008-0000-0000-000088000000}"/>
                </a:ext>
              </a:extLst>
            </xdr:cNvPr>
            <xdr:cNvSpPr/>
          </xdr:nvSpPr>
          <xdr:spPr>
            <a:xfrm>
              <a:off x="56330850" y="323850"/>
              <a:ext cx="419100" cy="419100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pic macro="[0]!Show_Home">
          <xdr:nvPicPr>
            <xdr:cNvPr id="137" name="Picture 136" hidden="1">
              <a:extLst>
                <a:ext uri="{FF2B5EF4-FFF2-40B4-BE49-F238E27FC236}">
                  <a16:creationId xmlns:a16="http://schemas.microsoft.com/office/drawing/2014/main" id="{00000000-0008-0000-0000-000089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6408598" y="396240"/>
              <a:ext cx="263604" cy="274320"/>
            </a:xfrm>
            <a:prstGeom prst="rect">
              <a:avLst/>
            </a:prstGeom>
          </xdr:spPr>
        </xdr:pic>
      </xdr:grpSp>
      <xdr:sp macro="[0]!Document_Save" textlink="">
        <xdr:nvSpPr>
          <xdr:cNvPr id="139" name="Rectangle 138" hidden="1">
            <a:extLst>
              <a:ext uri="{FF2B5EF4-FFF2-40B4-BE49-F238E27FC236}">
                <a16:creationId xmlns:a16="http://schemas.microsoft.com/office/drawing/2014/main" id="{00000000-0008-0000-0000-00008B000000}"/>
              </a:ext>
            </a:extLst>
          </xdr:cNvPr>
          <xdr:cNvSpPr/>
        </xdr:nvSpPr>
        <xdr:spPr>
          <a:xfrm>
            <a:off x="27470362" y="542517"/>
            <a:ext cx="1228798" cy="247429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 b="1"/>
              <a:t>Save</a:t>
            </a:r>
            <a:r>
              <a:rPr lang="en-US" sz="1100" b="1" baseline="0"/>
              <a:t> Document</a:t>
            </a:r>
            <a:endParaRPr lang="en-US" sz="1100" b="1"/>
          </a:p>
        </xdr:txBody>
      </xdr:sp>
      <xdr:sp macro="[0]!Document_New" textlink="">
        <xdr:nvSpPr>
          <xdr:cNvPr id="140" name="Rectangle 139" hidden="1">
            <a:extLst>
              <a:ext uri="{FF2B5EF4-FFF2-40B4-BE49-F238E27FC236}">
                <a16:creationId xmlns:a16="http://schemas.microsoft.com/office/drawing/2014/main" id="{00000000-0008-0000-0000-00008C000000}"/>
              </a:ext>
            </a:extLst>
          </xdr:cNvPr>
          <xdr:cNvSpPr/>
        </xdr:nvSpPr>
        <xdr:spPr>
          <a:xfrm>
            <a:off x="28851569" y="542517"/>
            <a:ext cx="1181170" cy="247429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 b="1"/>
              <a:t>Add Document</a:t>
            </a:r>
          </a:p>
        </xdr:txBody>
      </xdr:sp>
      <xdr:pic macro="[0]!Document_New">
        <xdr:nvPicPr>
          <xdr:cNvPr id="141" name="Picture 140" hidden="1">
            <a:extLst>
              <a:ext uri="{FF2B5EF4-FFF2-40B4-BE49-F238E27FC236}">
                <a16:creationId xmlns:a16="http://schemas.microsoft.com/office/drawing/2014/main" id="{00000000-0008-0000-0000-00008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866584" y="565737"/>
            <a:ext cx="207999" cy="200988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7" name="List Box 23" hidden="1">
                <a:extLst>
                  <a:ext uri="{63B3BB69-23CF-44E3-9099-C40C66FF867C}">
                    <a14:compatExt spid="_x0000_s1047"/>
                  </a:ext>
                  <a:ext uri="{FF2B5EF4-FFF2-40B4-BE49-F238E27FC236}">
                    <a16:creationId xmlns:a16="http://schemas.microsoft.com/office/drawing/2014/main" id="{00000000-0008-0000-0000-000017040000}"/>
                  </a:ext>
                </a:extLst>
              </xdr:cNvPr>
              <xdr:cNvSpPr/>
            </xdr:nvSpPr>
            <xdr:spPr bwMode="auto">
              <a:xfrm>
                <a:off x="23060029" y="789945"/>
                <a:ext cx="1076389" cy="207459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 macro="[0]!Document_Save">
        <xdr:nvPicPr>
          <xdr:cNvPr id="144" name="Picture 143" hidden="1">
            <a:extLst>
              <a:ext uri="{FF2B5EF4-FFF2-40B4-BE49-F238E27FC236}">
                <a16:creationId xmlns:a16="http://schemas.microsoft.com/office/drawing/2014/main" id="{00000000-0008-0000-0000-00009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479887" y="565737"/>
            <a:ext cx="201180" cy="200988"/>
          </a:xfrm>
          <a:prstGeom prst="rect">
            <a:avLst/>
          </a:prstGeom>
        </xdr:spPr>
      </xdr:pic>
      <xdr:pic>
        <xdr:nvPicPr>
          <xdr:cNvPr id="160" name="Picture 159" hidden="1">
            <a:extLst>
              <a:ext uri="{FF2B5EF4-FFF2-40B4-BE49-F238E27FC236}">
                <a16:creationId xmlns:a16="http://schemas.microsoft.com/office/drawing/2014/main" id="{00000000-0008-0000-0000-0000A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507216" y="59474"/>
            <a:ext cx="456694" cy="457200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Lisa@gmail.com" TargetMode="External"/><Relationship Id="rId7" Type="http://schemas.openxmlformats.org/officeDocument/2006/relationships/hyperlink" Target="mailto:John@gmail.com" TargetMode="External"/><Relationship Id="rId2" Type="http://schemas.openxmlformats.org/officeDocument/2006/relationships/hyperlink" Target="mailto:David@gmail.com" TargetMode="External"/><Relationship Id="rId1" Type="http://schemas.openxmlformats.org/officeDocument/2006/relationships/hyperlink" Target="mailto:Fred@Gmail.com" TargetMode="External"/><Relationship Id="rId6" Type="http://schemas.openxmlformats.org/officeDocument/2006/relationships/hyperlink" Target="mailto:Mary@gmail.com" TargetMode="External"/><Relationship Id="rId5" Type="http://schemas.openxmlformats.org/officeDocument/2006/relationships/hyperlink" Target="mailto:Beth@gmail.com" TargetMode="External"/><Relationship Id="rId4" Type="http://schemas.openxmlformats.org/officeDocument/2006/relationships/hyperlink" Target="mailto:John@gmail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C85"/>
  <sheetViews>
    <sheetView tabSelected="1" topLeftCell="C1" zoomScaleNormal="100" workbookViewId="0">
      <selection activeCell="AZ25" sqref="AZ25"/>
    </sheetView>
  </sheetViews>
  <sheetFormatPr defaultRowHeight="14.5" x14ac:dyDescent="0.35"/>
  <cols>
    <col min="1" max="1" width="12.7265625" customWidth="1"/>
    <col min="3" max="3" width="4.54296875" style="24" customWidth="1"/>
    <col min="4" max="4" width="16.453125" style="24" hidden="1" customWidth="1"/>
    <col min="5" max="5" width="2.26953125" style="24" hidden="1" customWidth="1"/>
    <col min="6" max="6" width="14.26953125" style="24" hidden="1" customWidth="1"/>
    <col min="7" max="7" width="31.26953125" style="24" hidden="1" customWidth="1"/>
    <col min="8" max="8" width="9.1796875" style="24" hidden="1" customWidth="1"/>
    <col min="9" max="9" width="31.26953125" style="24" hidden="1" customWidth="1"/>
    <col min="10" max="10" width="2.54296875" style="24" hidden="1" customWidth="1"/>
    <col min="11" max="11" width="17.7265625" style="24" hidden="1" customWidth="1"/>
    <col min="12" max="13" width="9.1796875" style="24" hidden="1" customWidth="1"/>
    <col min="14" max="14" width="7.7265625" style="24" hidden="1" customWidth="1"/>
    <col min="15" max="15" width="16.453125" style="24" hidden="1" customWidth="1"/>
    <col min="16" max="16" width="2.26953125" style="24" hidden="1" customWidth="1"/>
    <col min="17" max="17" width="14.26953125" style="24" hidden="1" customWidth="1"/>
    <col min="18" max="18" width="31.26953125" style="24" hidden="1" customWidth="1"/>
    <col min="19" max="19" width="9.1796875" style="24" hidden="1" customWidth="1"/>
    <col min="20" max="20" width="31.26953125" style="24" hidden="1" customWidth="1"/>
    <col min="21" max="21" width="2.54296875" style="24" hidden="1" customWidth="1"/>
    <col min="22" max="22" width="17.7265625" style="24" hidden="1" customWidth="1"/>
    <col min="23" max="26" width="9.1796875" style="24" hidden="1" customWidth="1"/>
    <col min="27" max="27" width="16.453125" style="24" hidden="1" customWidth="1"/>
    <col min="28" max="28" width="2.26953125" style="24" hidden="1" customWidth="1"/>
    <col min="29" max="29" width="14.26953125" style="24" hidden="1" customWidth="1"/>
    <col min="30" max="30" width="31.26953125" style="24" hidden="1" customWidth="1"/>
    <col min="31" max="31" width="9.1796875" style="24" hidden="1" customWidth="1"/>
    <col min="32" max="32" width="31.26953125" style="24" hidden="1" customWidth="1"/>
    <col min="33" max="33" width="3.7265625" style="24" hidden="1" customWidth="1"/>
    <col min="34" max="34" width="24" style="24" hidden="1" customWidth="1"/>
    <col min="35" max="39" width="9.1796875" style="24" hidden="1" customWidth="1"/>
    <col min="40" max="40" width="5.26953125" style="24" hidden="1" customWidth="1"/>
    <col min="41" max="41" width="23.54296875" style="24" hidden="1" customWidth="1"/>
    <col min="42" max="42" width="2.26953125" style="24" hidden="1" customWidth="1"/>
    <col min="43" max="43" width="14.26953125" style="24" hidden="1" customWidth="1"/>
    <col min="44" max="44" width="31.26953125" style="24" hidden="1" customWidth="1"/>
    <col min="45" max="45" width="9.1796875" style="24" hidden="1" customWidth="1"/>
    <col min="46" max="46" width="31.26953125" style="24" hidden="1" customWidth="1"/>
    <col min="47" max="47" width="6.453125" style="24" hidden="1" customWidth="1"/>
    <col min="48" max="51" width="9.1796875" style="24" hidden="1" customWidth="1"/>
    <col min="52" max="52" width="149.1796875" style="24" customWidth="1"/>
    <col min="53" max="54" width="9.1796875" style="24"/>
    <col min="55" max="55" width="153.1796875" style="24" customWidth="1"/>
  </cols>
  <sheetData>
    <row r="1" spans="1:55" ht="46.5" customHeight="1" x14ac:dyDescent="0.35">
      <c r="A1" s="17" t="s">
        <v>66</v>
      </c>
      <c r="B1" s="17"/>
      <c r="C1" s="27"/>
      <c r="D1" s="27"/>
      <c r="E1" s="27"/>
      <c r="F1" s="35" t="s">
        <v>4</v>
      </c>
      <c r="G1" s="35"/>
      <c r="H1" s="35"/>
      <c r="I1" s="35"/>
      <c r="J1" s="35"/>
      <c r="K1" s="35"/>
      <c r="L1" s="27"/>
      <c r="M1" s="27"/>
      <c r="N1" s="27"/>
      <c r="O1" s="27"/>
      <c r="P1" s="27"/>
      <c r="Q1" s="35" t="s">
        <v>91</v>
      </c>
      <c r="R1" s="35"/>
      <c r="S1" s="35"/>
      <c r="T1" s="35"/>
      <c r="U1" s="35"/>
      <c r="V1" s="35"/>
      <c r="W1" s="27"/>
      <c r="X1" s="27"/>
      <c r="Y1" s="27"/>
      <c r="Z1" s="27"/>
      <c r="AA1" s="35" t="s">
        <v>12</v>
      </c>
      <c r="AB1" s="35"/>
      <c r="AC1" s="35"/>
      <c r="AD1" s="35"/>
      <c r="AE1" s="35"/>
      <c r="AF1" s="35"/>
      <c r="AG1" s="35"/>
      <c r="AH1" s="35"/>
      <c r="AI1" s="27"/>
      <c r="AJ1" s="27"/>
      <c r="AK1" s="27"/>
      <c r="AL1" s="27"/>
      <c r="AM1" s="27"/>
      <c r="AN1" s="27"/>
      <c r="AO1" s="35" t="s">
        <v>22</v>
      </c>
      <c r="AP1" s="35"/>
      <c r="AQ1" s="35"/>
      <c r="AR1" s="35"/>
      <c r="AS1" s="35"/>
      <c r="AT1" s="35"/>
      <c r="AU1" s="35"/>
      <c r="AV1" s="35"/>
      <c r="AW1" s="27"/>
      <c r="AX1" s="27"/>
      <c r="AY1" s="27"/>
      <c r="AZ1" s="27"/>
      <c r="BA1" s="27"/>
      <c r="BB1" s="27"/>
      <c r="BC1" s="27"/>
    </row>
    <row r="2" spans="1:55" x14ac:dyDescent="0.35">
      <c r="A2" s="16" t="s">
        <v>70</v>
      </c>
      <c r="B2" s="25" t="b">
        <v>0</v>
      </c>
      <c r="C2" s="9"/>
      <c r="D2" s="32" t="s">
        <v>4</v>
      </c>
      <c r="E2" s="9"/>
      <c r="F2" s="5" t="s">
        <v>90</v>
      </c>
      <c r="G2" s="4" t="s">
        <v>10</v>
      </c>
      <c r="H2" s="9"/>
      <c r="I2" s="9"/>
      <c r="J2" s="9"/>
      <c r="K2" s="28"/>
      <c r="L2" s="9"/>
      <c r="M2" s="9"/>
      <c r="N2" s="9"/>
      <c r="O2" s="32" t="s">
        <v>13</v>
      </c>
      <c r="P2" s="9"/>
      <c r="Q2" s="5" t="s">
        <v>14</v>
      </c>
      <c r="R2" s="4" t="s">
        <v>8</v>
      </c>
      <c r="S2" s="9"/>
      <c r="T2" s="9"/>
      <c r="U2" s="9"/>
      <c r="V2" s="32" t="s">
        <v>19</v>
      </c>
      <c r="W2" s="9"/>
      <c r="X2" s="9"/>
      <c r="Y2" s="9"/>
      <c r="Z2" s="9"/>
      <c r="AA2" s="32" t="s">
        <v>12</v>
      </c>
      <c r="AB2" s="9"/>
      <c r="AC2" s="8"/>
      <c r="AD2" s="9"/>
      <c r="AE2" s="9"/>
      <c r="AF2" s="9"/>
      <c r="AG2" s="9"/>
      <c r="AH2" s="28"/>
      <c r="AI2" s="9"/>
      <c r="AJ2" s="9"/>
      <c r="AK2" s="9"/>
      <c r="AL2" s="9"/>
      <c r="AM2" s="9"/>
      <c r="AN2" s="9"/>
      <c r="AO2" s="32" t="s">
        <v>22</v>
      </c>
      <c r="AP2" s="9"/>
      <c r="AQ2" s="8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</row>
    <row r="3" spans="1:55" x14ac:dyDescent="0.35">
      <c r="A3" s="16" t="s">
        <v>51</v>
      </c>
      <c r="B3" s="25">
        <v>5</v>
      </c>
      <c r="C3" s="9"/>
      <c r="D3" s="31"/>
      <c r="E3" s="9"/>
      <c r="F3" s="9"/>
      <c r="G3" s="9"/>
      <c r="H3" s="9"/>
      <c r="I3" s="9"/>
      <c r="J3" s="9"/>
      <c r="K3" s="9"/>
      <c r="L3" s="9"/>
      <c r="M3" s="9"/>
      <c r="N3" s="9"/>
      <c r="O3" s="31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31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31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</row>
    <row r="4" spans="1:55" x14ac:dyDescent="0.35">
      <c r="A4" s="16" t="s">
        <v>52</v>
      </c>
      <c r="B4" s="25">
        <f ca="1">IFERROR(MATCH(G2,ContactNames,0)+3,"")</f>
        <v>8</v>
      </c>
      <c r="C4" s="9"/>
      <c r="D4" s="6"/>
      <c r="E4" s="9"/>
      <c r="F4" s="5" t="s">
        <v>0</v>
      </c>
      <c r="G4" s="29" t="s">
        <v>10</v>
      </c>
      <c r="H4" s="5" t="s">
        <v>1</v>
      </c>
      <c r="I4" s="30">
        <v>3105558745</v>
      </c>
      <c r="J4" s="9"/>
      <c r="K4" s="9"/>
      <c r="L4" s="9"/>
      <c r="M4" s="9"/>
      <c r="N4" s="9"/>
      <c r="O4" s="6"/>
      <c r="P4" s="9"/>
      <c r="Q4" s="5" t="s">
        <v>15</v>
      </c>
      <c r="R4" s="29" t="s">
        <v>79</v>
      </c>
      <c r="S4" s="5" t="s">
        <v>16</v>
      </c>
      <c r="T4" s="30" t="s">
        <v>80</v>
      </c>
      <c r="U4" s="9"/>
      <c r="V4" s="9"/>
      <c r="W4" s="9"/>
      <c r="X4" s="9"/>
      <c r="Y4" s="9"/>
      <c r="Z4" s="9"/>
      <c r="AA4" s="6"/>
      <c r="AB4" s="9"/>
      <c r="AC4" s="5" t="s">
        <v>21</v>
      </c>
      <c r="AD4" s="29" t="s">
        <v>57</v>
      </c>
      <c r="AE4" s="5" t="s">
        <v>20</v>
      </c>
      <c r="AF4" s="30" t="s">
        <v>9</v>
      </c>
      <c r="AG4" s="9"/>
      <c r="AH4" s="9"/>
      <c r="AI4" s="9"/>
      <c r="AJ4" s="9"/>
      <c r="AK4" s="9"/>
      <c r="AL4" s="9"/>
      <c r="AM4" s="9"/>
      <c r="AN4" s="9"/>
      <c r="AO4" s="6"/>
      <c r="AP4" s="9"/>
      <c r="AQ4" s="5" t="s">
        <v>25</v>
      </c>
      <c r="AR4" s="29" t="s">
        <v>85</v>
      </c>
      <c r="AS4" s="5" t="s">
        <v>20</v>
      </c>
      <c r="AT4" s="30" t="s">
        <v>7</v>
      </c>
      <c r="AU4" s="9"/>
      <c r="AV4" s="9"/>
      <c r="AW4" s="9"/>
      <c r="AX4" s="9"/>
      <c r="AY4" s="9"/>
      <c r="AZ4" s="9"/>
      <c r="BA4" s="9"/>
      <c r="BB4" s="9"/>
      <c r="BC4" s="9"/>
    </row>
    <row r="5" spans="1:55" x14ac:dyDescent="0.35">
      <c r="A5" s="17" t="s">
        <v>67</v>
      </c>
      <c r="B5" s="18"/>
      <c r="C5" s="9"/>
      <c r="D5" s="6"/>
      <c r="E5" s="9"/>
      <c r="F5" s="9"/>
      <c r="G5" s="9"/>
      <c r="H5" s="9"/>
      <c r="I5" s="9"/>
      <c r="J5" s="9"/>
      <c r="K5" s="9"/>
      <c r="L5" s="9"/>
      <c r="M5" s="9"/>
      <c r="N5" s="9"/>
      <c r="O5" s="6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6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6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</row>
    <row r="6" spans="1:55" x14ac:dyDescent="0.35">
      <c r="A6" s="16" t="s">
        <v>71</v>
      </c>
      <c r="B6" s="25" t="b">
        <v>0</v>
      </c>
      <c r="C6" s="9"/>
      <c r="D6" s="6"/>
      <c r="E6" s="9"/>
      <c r="F6" s="5" t="s">
        <v>2</v>
      </c>
      <c r="G6" s="36" t="s">
        <v>59</v>
      </c>
      <c r="H6" s="37"/>
      <c r="I6" s="38"/>
      <c r="J6" s="9"/>
      <c r="K6" s="9"/>
      <c r="L6" s="9"/>
      <c r="M6" s="9"/>
      <c r="N6" s="9"/>
      <c r="O6" s="6"/>
      <c r="P6" s="9"/>
      <c r="Q6" s="5" t="s">
        <v>92</v>
      </c>
      <c r="R6" s="47" t="s">
        <v>56</v>
      </c>
      <c r="S6" s="48"/>
      <c r="T6" s="49"/>
      <c r="U6" s="9"/>
      <c r="V6" s="9"/>
      <c r="W6" s="9"/>
      <c r="X6" s="9"/>
      <c r="Y6" s="9"/>
      <c r="Z6" s="9"/>
      <c r="AA6" s="6"/>
      <c r="AB6" s="9"/>
      <c r="AC6" s="5" t="s">
        <v>35</v>
      </c>
      <c r="AD6" s="36" t="s">
        <v>56</v>
      </c>
      <c r="AE6" s="37"/>
      <c r="AF6" s="38"/>
      <c r="AG6" s="9"/>
      <c r="AH6" s="9"/>
      <c r="AI6" s="9"/>
      <c r="AJ6" s="9"/>
      <c r="AK6" s="9"/>
      <c r="AL6" s="9"/>
      <c r="AM6" s="9"/>
      <c r="AN6" s="9"/>
      <c r="AO6" s="6"/>
      <c r="AP6" s="9"/>
      <c r="AQ6" s="5" t="s">
        <v>23</v>
      </c>
      <c r="AR6" s="34">
        <v>43850</v>
      </c>
      <c r="AS6" s="5" t="s">
        <v>24</v>
      </c>
      <c r="AT6" s="33">
        <v>0.33333333333333331</v>
      </c>
      <c r="AU6" s="9"/>
      <c r="AV6" s="9"/>
      <c r="AW6" s="9"/>
      <c r="AX6" s="9"/>
      <c r="AY6" s="9"/>
      <c r="AZ6" s="9"/>
      <c r="BA6" s="9"/>
      <c r="BB6" s="9"/>
      <c r="BC6" s="9"/>
    </row>
    <row r="7" spans="1:55" x14ac:dyDescent="0.35">
      <c r="A7" s="16" t="s">
        <v>62</v>
      </c>
      <c r="B7" s="25">
        <v>1</v>
      </c>
      <c r="C7" s="9"/>
      <c r="D7" s="6"/>
      <c r="E7" s="9"/>
      <c r="F7" s="9"/>
      <c r="G7" s="9"/>
      <c r="H7" s="9"/>
      <c r="I7" s="9"/>
      <c r="J7" s="9"/>
      <c r="K7" s="9"/>
      <c r="L7" s="9"/>
      <c r="M7" s="9"/>
      <c r="N7" s="9"/>
      <c r="O7" s="6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6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6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</row>
    <row r="8" spans="1:55" x14ac:dyDescent="0.35">
      <c r="A8" s="16" t="s">
        <v>63</v>
      </c>
      <c r="B8" s="25">
        <f ca="1">IFERROR(MATCH(AD4,Documents,0)+3,"")</f>
        <v>4</v>
      </c>
      <c r="C8" s="9"/>
      <c r="D8" s="6"/>
      <c r="E8" s="9"/>
      <c r="F8" s="5" t="s">
        <v>3</v>
      </c>
      <c r="G8" s="39"/>
      <c r="H8" s="39"/>
      <c r="I8" s="40"/>
      <c r="J8" s="9"/>
      <c r="K8" s="9"/>
      <c r="L8" s="9"/>
      <c r="M8" s="9"/>
      <c r="N8" s="9"/>
      <c r="O8" s="6"/>
      <c r="P8" s="9"/>
      <c r="Q8" s="5" t="s">
        <v>93</v>
      </c>
      <c r="R8" s="39" t="s">
        <v>81</v>
      </c>
      <c r="S8" s="39"/>
      <c r="T8" s="40"/>
      <c r="U8" s="9"/>
      <c r="V8" s="9"/>
      <c r="W8" s="9"/>
      <c r="X8" s="9"/>
      <c r="Y8" s="9"/>
      <c r="Z8" s="9"/>
      <c r="AA8" s="6"/>
      <c r="AB8" s="9"/>
      <c r="AC8" s="5" t="s">
        <v>95</v>
      </c>
      <c r="AD8" s="39" t="s">
        <v>58</v>
      </c>
      <c r="AE8" s="39"/>
      <c r="AF8" s="40"/>
      <c r="AG8" s="9"/>
      <c r="AH8" s="9"/>
      <c r="AI8" s="9"/>
      <c r="AJ8" s="9"/>
      <c r="AK8" s="9"/>
      <c r="AL8" s="9"/>
      <c r="AM8" s="9"/>
      <c r="AN8" s="9"/>
      <c r="AO8" s="6"/>
      <c r="AP8" s="9"/>
      <c r="AQ8" s="5" t="s">
        <v>27</v>
      </c>
      <c r="AR8" s="39" t="s">
        <v>86</v>
      </c>
      <c r="AS8" s="39"/>
      <c r="AT8" s="40"/>
      <c r="AU8" s="9"/>
      <c r="AV8" s="9"/>
      <c r="AW8" s="9"/>
      <c r="AX8" s="9"/>
      <c r="AY8" s="9"/>
      <c r="AZ8" s="9"/>
      <c r="BA8" s="9"/>
      <c r="BB8" s="9"/>
      <c r="BC8" s="9"/>
    </row>
    <row r="9" spans="1:55" x14ac:dyDescent="0.35">
      <c r="A9" s="17" t="s">
        <v>68</v>
      </c>
      <c r="B9" s="18"/>
      <c r="C9" s="9"/>
      <c r="D9" s="6"/>
      <c r="E9" s="9"/>
      <c r="F9" s="9"/>
      <c r="G9" s="41"/>
      <c r="H9" s="42"/>
      <c r="I9" s="43"/>
      <c r="J9" s="9"/>
      <c r="K9" s="9"/>
      <c r="L9" s="9"/>
      <c r="M9" s="9"/>
      <c r="N9" s="9"/>
      <c r="O9" s="6"/>
      <c r="P9" s="9"/>
      <c r="Q9" s="9"/>
      <c r="R9" s="41"/>
      <c r="S9" s="42"/>
      <c r="T9" s="43"/>
      <c r="U9" s="9"/>
      <c r="V9" s="9"/>
      <c r="W9" s="9"/>
      <c r="X9" s="9"/>
      <c r="Y9" s="9"/>
      <c r="Z9" s="9"/>
      <c r="AA9" s="6"/>
      <c r="AB9" s="9"/>
      <c r="AC9" s="9"/>
      <c r="AD9" s="41"/>
      <c r="AE9" s="42"/>
      <c r="AF9" s="43"/>
      <c r="AG9" s="9"/>
      <c r="AH9" s="9"/>
      <c r="AI9" s="9"/>
      <c r="AJ9" s="9"/>
      <c r="AK9" s="9"/>
      <c r="AL9" s="9"/>
      <c r="AM9" s="9"/>
      <c r="AN9" s="9"/>
      <c r="AO9" s="6"/>
      <c r="AP9" s="9"/>
      <c r="AQ9" s="9"/>
      <c r="AR9" s="41"/>
      <c r="AS9" s="42"/>
      <c r="AT9" s="43"/>
      <c r="AU9" s="9"/>
      <c r="AV9" s="9"/>
      <c r="AW9" s="9"/>
      <c r="AX9" s="9"/>
      <c r="AY9" s="9"/>
      <c r="AZ9" s="9"/>
      <c r="BA9" s="9"/>
      <c r="BB9" s="9"/>
      <c r="BC9" s="9"/>
    </row>
    <row r="10" spans="1:55" x14ac:dyDescent="0.35">
      <c r="A10" s="16" t="s">
        <v>72</v>
      </c>
      <c r="B10" s="25" t="b">
        <v>0</v>
      </c>
      <c r="C10" s="9"/>
      <c r="D10" s="6"/>
      <c r="E10" s="9"/>
      <c r="F10" s="9"/>
      <c r="G10" s="41"/>
      <c r="H10" s="42"/>
      <c r="I10" s="43"/>
      <c r="J10" s="9"/>
      <c r="K10" s="9"/>
      <c r="L10" s="9"/>
      <c r="M10" s="9"/>
      <c r="N10" s="9"/>
      <c r="O10" s="6"/>
      <c r="P10" s="9"/>
      <c r="Q10" s="9"/>
      <c r="R10" s="41"/>
      <c r="S10" s="42"/>
      <c r="T10" s="43"/>
      <c r="U10" s="9"/>
      <c r="V10" s="9"/>
      <c r="W10" s="9"/>
      <c r="X10" s="9"/>
      <c r="Y10" s="9"/>
      <c r="Z10" s="9"/>
      <c r="AA10" s="6"/>
      <c r="AB10" s="9"/>
      <c r="AC10" s="9"/>
      <c r="AD10" s="41"/>
      <c r="AE10" s="42"/>
      <c r="AF10" s="43"/>
      <c r="AG10" s="9"/>
      <c r="AH10" s="9"/>
      <c r="AI10" s="9"/>
      <c r="AJ10" s="9"/>
      <c r="AK10" s="9"/>
      <c r="AL10" s="9"/>
      <c r="AM10" s="9"/>
      <c r="AN10" s="9"/>
      <c r="AO10" s="6"/>
      <c r="AP10" s="9"/>
      <c r="AQ10" s="9"/>
      <c r="AR10" s="41"/>
      <c r="AS10" s="42"/>
      <c r="AT10" s="43"/>
      <c r="AU10" s="9"/>
      <c r="AV10" s="9"/>
      <c r="AW10" s="9"/>
      <c r="AX10" s="9"/>
      <c r="AY10" s="9"/>
      <c r="AZ10" s="9"/>
      <c r="BA10" s="9"/>
      <c r="BB10" s="9"/>
      <c r="BC10" s="9"/>
    </row>
    <row r="11" spans="1:55" x14ac:dyDescent="0.35">
      <c r="A11" s="16" t="s">
        <v>72</v>
      </c>
      <c r="B11" s="25" t="b">
        <v>0</v>
      </c>
      <c r="C11" s="9"/>
      <c r="D11" s="6"/>
      <c r="E11" s="9"/>
      <c r="F11" s="9"/>
      <c r="G11" s="41"/>
      <c r="H11" s="42"/>
      <c r="I11" s="43"/>
      <c r="J11" s="9"/>
      <c r="K11" s="9"/>
      <c r="L11" s="9"/>
      <c r="M11" s="9"/>
      <c r="N11" s="9"/>
      <c r="O11" s="6"/>
      <c r="P11" s="9"/>
      <c r="Q11" s="9"/>
      <c r="R11" s="41"/>
      <c r="S11" s="42"/>
      <c r="T11" s="43"/>
      <c r="U11" s="9"/>
      <c r="V11" s="9"/>
      <c r="W11" s="9"/>
      <c r="X11" s="9"/>
      <c r="Y11" s="9"/>
      <c r="Z11" s="9"/>
      <c r="AA11" s="6"/>
      <c r="AB11" s="9"/>
      <c r="AC11" s="9"/>
      <c r="AD11" s="41"/>
      <c r="AE11" s="42"/>
      <c r="AF11" s="43"/>
      <c r="AG11" s="9"/>
      <c r="AH11" s="9"/>
      <c r="AI11" s="9"/>
      <c r="AJ11" s="9"/>
      <c r="AK11" s="9"/>
      <c r="AL11" s="9"/>
      <c r="AM11" s="9"/>
      <c r="AN11" s="9"/>
      <c r="AO11" s="6"/>
      <c r="AP11" s="9"/>
      <c r="AQ11" s="9"/>
      <c r="AR11" s="41"/>
      <c r="AS11" s="42"/>
      <c r="AT11" s="43"/>
      <c r="AU11" s="9"/>
      <c r="AV11" s="9"/>
      <c r="AW11" s="9"/>
      <c r="AX11" s="9"/>
      <c r="AY11" s="9"/>
      <c r="AZ11" s="9"/>
      <c r="BA11" s="9"/>
      <c r="BB11" s="9"/>
      <c r="BC11" s="9"/>
    </row>
    <row r="12" spans="1:55" x14ac:dyDescent="0.35">
      <c r="A12" s="16" t="s">
        <v>52</v>
      </c>
      <c r="B12" s="25">
        <f ca="1">IFERROR(MATCH(R2,ContactNames,0)+3,"")</f>
        <v>6</v>
      </c>
      <c r="C12" s="9"/>
      <c r="D12" s="6"/>
      <c r="E12" s="9"/>
      <c r="F12" s="9"/>
      <c r="G12" s="41"/>
      <c r="H12" s="42"/>
      <c r="I12" s="43"/>
      <c r="J12" s="9"/>
      <c r="K12" s="9"/>
      <c r="L12" s="9"/>
      <c r="M12" s="9"/>
      <c r="N12" s="9"/>
      <c r="O12" s="6"/>
      <c r="P12" s="9"/>
      <c r="Q12" s="9"/>
      <c r="R12" s="41"/>
      <c r="S12" s="42"/>
      <c r="T12" s="43"/>
      <c r="U12" s="9"/>
      <c r="V12" s="9"/>
      <c r="W12" s="9"/>
      <c r="X12" s="9"/>
      <c r="Y12" s="9"/>
      <c r="Z12" s="9"/>
      <c r="AA12" s="6"/>
      <c r="AB12" s="9"/>
      <c r="AC12" s="9"/>
      <c r="AD12" s="41"/>
      <c r="AE12" s="42"/>
      <c r="AF12" s="43"/>
      <c r="AG12" s="9"/>
      <c r="AH12" s="9"/>
      <c r="AI12" s="9"/>
      <c r="AJ12" s="9"/>
      <c r="AK12" s="9"/>
      <c r="AL12" s="9"/>
      <c r="AM12" s="9"/>
      <c r="AN12" s="9"/>
      <c r="AO12" s="6"/>
      <c r="AP12" s="9"/>
      <c r="AQ12" s="9"/>
      <c r="AR12" s="41"/>
      <c r="AS12" s="42"/>
      <c r="AT12" s="43"/>
      <c r="AU12" s="9"/>
      <c r="AV12" s="9"/>
      <c r="AW12" s="9"/>
      <c r="AX12" s="9"/>
      <c r="AY12" s="9"/>
      <c r="AZ12" s="9"/>
      <c r="BA12" s="9"/>
      <c r="BB12" s="9"/>
      <c r="BC12" s="9"/>
    </row>
    <row r="13" spans="1:55" x14ac:dyDescent="0.35">
      <c r="A13" s="16" t="s">
        <v>76</v>
      </c>
      <c r="B13" s="25">
        <v>2</v>
      </c>
      <c r="C13" s="9"/>
      <c r="D13" s="7"/>
      <c r="E13" s="9"/>
      <c r="F13" s="9"/>
      <c r="G13" s="44"/>
      <c r="H13" s="45"/>
      <c r="I13" s="46"/>
      <c r="J13" s="9"/>
      <c r="K13" s="9"/>
      <c r="L13" s="9"/>
      <c r="M13" s="9"/>
      <c r="N13" s="9"/>
      <c r="O13" s="7"/>
      <c r="P13" s="9"/>
      <c r="Q13" s="9"/>
      <c r="R13" s="44"/>
      <c r="S13" s="45"/>
      <c r="T13" s="46"/>
      <c r="U13" s="9"/>
      <c r="V13" s="9"/>
      <c r="W13" s="9"/>
      <c r="X13" s="9"/>
      <c r="Y13" s="9"/>
      <c r="Z13" s="9"/>
      <c r="AA13" s="7"/>
      <c r="AB13" s="9"/>
      <c r="AC13" s="9"/>
      <c r="AD13" s="44"/>
      <c r="AE13" s="45"/>
      <c r="AF13" s="46"/>
      <c r="AG13" s="9"/>
      <c r="AH13" s="9"/>
      <c r="AI13" s="9"/>
      <c r="AJ13" s="9"/>
      <c r="AK13" s="9"/>
      <c r="AL13" s="9"/>
      <c r="AM13" s="9"/>
      <c r="AN13" s="9"/>
      <c r="AO13" s="7"/>
      <c r="AP13" s="9"/>
      <c r="AQ13" s="9"/>
      <c r="AR13" s="44"/>
      <c r="AS13" s="45"/>
      <c r="AT13" s="46"/>
      <c r="AU13" s="9"/>
      <c r="AV13" s="9"/>
      <c r="AW13" s="9"/>
      <c r="AX13" s="9"/>
      <c r="AY13" s="9"/>
      <c r="AZ13" s="9"/>
      <c r="BA13" s="9"/>
      <c r="BB13" s="9"/>
      <c r="BC13" s="9"/>
    </row>
    <row r="14" spans="1:55" x14ac:dyDescent="0.35">
      <c r="A14" s="16" t="s">
        <v>94</v>
      </c>
      <c r="B14" s="25">
        <v>1</v>
      </c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</row>
    <row r="15" spans="1:55" x14ac:dyDescent="0.35">
      <c r="A15" s="17" t="s">
        <v>69</v>
      </c>
      <c r="B15" s="18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</row>
    <row r="16" spans="1:55" x14ac:dyDescent="0.35">
      <c r="A16" s="16" t="s">
        <v>75</v>
      </c>
      <c r="B16" s="25" t="b">
        <v>0</v>
      </c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</row>
    <row r="17" spans="1:55" x14ac:dyDescent="0.35">
      <c r="A17" s="16" t="s">
        <v>74</v>
      </c>
      <c r="B17" s="25">
        <v>2</v>
      </c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</row>
    <row r="18" spans="1:55" x14ac:dyDescent="0.35">
      <c r="A18" s="16" t="s">
        <v>73</v>
      </c>
      <c r="B18" s="25">
        <f ca="1">IFERROR(MATCH(AR4,Reminders,0)+3,"")</f>
        <v>5</v>
      </c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</row>
    <row r="19" spans="1:55" x14ac:dyDescent="0.35">
      <c r="A19" s="2"/>
      <c r="B19" s="2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</row>
    <row r="20" spans="1:55" x14ac:dyDescent="0.35">
      <c r="A20" s="2"/>
      <c r="B20" s="2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</row>
    <row r="21" spans="1:55" x14ac:dyDescent="0.35">
      <c r="A21" s="2"/>
      <c r="B21" s="2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</row>
    <row r="22" spans="1:55" x14ac:dyDescent="0.35">
      <c r="A22" s="2"/>
      <c r="B22" s="2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</row>
    <row r="23" spans="1:55" x14ac:dyDescent="0.35">
      <c r="A23" s="2"/>
      <c r="B23" s="2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</row>
    <row r="24" spans="1:55" x14ac:dyDescent="0.35">
      <c r="A24" s="2"/>
      <c r="B24" s="2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</row>
    <row r="25" spans="1:55" x14ac:dyDescent="0.35">
      <c r="A25" s="2"/>
      <c r="B25" s="2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</row>
    <row r="26" spans="1:55" x14ac:dyDescent="0.35">
      <c r="A26" s="2"/>
      <c r="B26" s="2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</row>
    <row r="27" spans="1:55" x14ac:dyDescent="0.35">
      <c r="A27" s="2"/>
      <c r="B27" s="2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</row>
    <row r="28" spans="1:55" x14ac:dyDescent="0.35">
      <c r="A28" s="2"/>
      <c r="B28" s="2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</row>
    <row r="29" spans="1:55" x14ac:dyDescent="0.35">
      <c r="A29" s="2"/>
      <c r="B29" s="2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</row>
    <row r="30" spans="1:55" x14ac:dyDescent="0.35">
      <c r="A30" s="2"/>
      <c r="B30" s="2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</row>
    <row r="31" spans="1:55" x14ac:dyDescent="0.35">
      <c r="A31" s="2"/>
      <c r="B31" s="2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</row>
    <row r="32" spans="1:55" x14ac:dyDescent="0.35">
      <c r="A32" s="2"/>
      <c r="B32" s="2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</row>
    <row r="33" spans="1:55" x14ac:dyDescent="0.35">
      <c r="A33" s="2"/>
      <c r="B33" s="2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</row>
    <row r="34" spans="1:55" x14ac:dyDescent="0.35">
      <c r="A34" s="1"/>
      <c r="B34" s="1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</row>
    <row r="35" spans="1:55" x14ac:dyDescent="0.35">
      <c r="A35" s="1"/>
      <c r="B35" s="1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</row>
    <row r="36" spans="1:55" x14ac:dyDescent="0.35">
      <c r="A36" s="1"/>
      <c r="B36" s="1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</row>
    <row r="37" spans="1:55" x14ac:dyDescent="0.35">
      <c r="A37" s="1"/>
      <c r="B37" s="1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</row>
    <row r="38" spans="1:55" x14ac:dyDescent="0.35">
      <c r="A38" s="1"/>
      <c r="B38" s="1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</row>
    <row r="39" spans="1:55" x14ac:dyDescent="0.35">
      <c r="A39" s="1"/>
      <c r="B39" s="1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</row>
    <row r="40" spans="1:55" x14ac:dyDescent="0.35">
      <c r="A40" s="1"/>
      <c r="B40" s="1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</row>
    <row r="41" spans="1:55" x14ac:dyDescent="0.35">
      <c r="A41" s="1"/>
      <c r="B41" s="1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</row>
    <row r="42" spans="1:55" x14ac:dyDescent="0.35">
      <c r="A42" s="1"/>
      <c r="B42" s="1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</row>
    <row r="43" spans="1:55" x14ac:dyDescent="0.35">
      <c r="A43" s="1"/>
      <c r="B43" s="1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</row>
    <row r="44" spans="1:55" x14ac:dyDescent="0.35">
      <c r="A44" s="1"/>
      <c r="B44" s="1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</row>
    <row r="45" spans="1:55" x14ac:dyDescent="0.35">
      <c r="A45" s="1"/>
      <c r="B45" s="1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</row>
    <row r="46" spans="1:55" x14ac:dyDescent="0.35">
      <c r="A46" s="1"/>
      <c r="B46" s="1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</row>
    <row r="47" spans="1:55" x14ac:dyDescent="0.35">
      <c r="A47" s="1"/>
      <c r="B47" s="1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</row>
    <row r="48" spans="1:55" x14ac:dyDescent="0.35">
      <c r="A48" s="1"/>
      <c r="B48" s="1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</row>
    <row r="49" spans="1:55" x14ac:dyDescent="0.35">
      <c r="A49" s="1"/>
      <c r="B49" s="1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</row>
    <row r="50" spans="1:55" x14ac:dyDescent="0.35">
      <c r="A50" s="1"/>
      <c r="B50" s="1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</row>
    <row r="51" spans="1:55" x14ac:dyDescent="0.35">
      <c r="A51" s="1"/>
      <c r="B51" s="1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</row>
    <row r="52" spans="1:55" x14ac:dyDescent="0.35">
      <c r="A52" s="1"/>
      <c r="B52" s="1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</row>
    <row r="53" spans="1:55" x14ac:dyDescent="0.35">
      <c r="A53" s="1"/>
      <c r="B53" s="1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</row>
    <row r="54" spans="1:55" x14ac:dyDescent="0.35">
      <c r="A54" s="1"/>
      <c r="B54" s="1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</row>
    <row r="55" spans="1:55" x14ac:dyDescent="0.35">
      <c r="A55" s="1"/>
      <c r="B55" s="1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</row>
    <row r="56" spans="1:55" x14ac:dyDescent="0.35">
      <c r="A56" s="1"/>
      <c r="B56" s="1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</row>
    <row r="57" spans="1:55" x14ac:dyDescent="0.35">
      <c r="A57" s="1"/>
      <c r="B57" s="1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</row>
    <row r="58" spans="1:55" x14ac:dyDescent="0.35">
      <c r="A58" s="1"/>
      <c r="B58" s="1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</row>
    <row r="59" spans="1:55" x14ac:dyDescent="0.35">
      <c r="A59" s="1"/>
      <c r="B59" s="1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</row>
    <row r="60" spans="1:55" x14ac:dyDescent="0.35">
      <c r="A60" s="1"/>
      <c r="B60" s="1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</row>
    <row r="61" spans="1:55" x14ac:dyDescent="0.35">
      <c r="A61" s="1"/>
      <c r="B61" s="1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</row>
    <row r="62" spans="1:55" x14ac:dyDescent="0.35">
      <c r="A62" s="1"/>
      <c r="B62" s="1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</row>
    <row r="63" spans="1:55" x14ac:dyDescent="0.35">
      <c r="A63" s="1"/>
      <c r="B63" s="1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</row>
    <row r="64" spans="1:55" x14ac:dyDescent="0.35">
      <c r="A64" s="1"/>
      <c r="B64" s="1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</row>
    <row r="65" customFormat="1" x14ac:dyDescent="0.35"/>
    <row r="66" customFormat="1" x14ac:dyDescent="0.35"/>
    <row r="67" customFormat="1" x14ac:dyDescent="0.35"/>
    <row r="68" customFormat="1" x14ac:dyDescent="0.35"/>
    <row r="69" customFormat="1" x14ac:dyDescent="0.35"/>
    <row r="70" customFormat="1" x14ac:dyDescent="0.35"/>
    <row r="71" customFormat="1" x14ac:dyDescent="0.35"/>
    <row r="72" customFormat="1" x14ac:dyDescent="0.35"/>
    <row r="73" customFormat="1" x14ac:dyDescent="0.35"/>
    <row r="74" customFormat="1" x14ac:dyDescent="0.35"/>
    <row r="75" customFormat="1" x14ac:dyDescent="0.35"/>
    <row r="76" customFormat="1" x14ac:dyDescent="0.35"/>
    <row r="77" customFormat="1" x14ac:dyDescent="0.35"/>
    <row r="78" customFormat="1" x14ac:dyDescent="0.35"/>
    <row r="79" customFormat="1" x14ac:dyDescent="0.35"/>
    <row r="80" customFormat="1" x14ac:dyDescent="0.35"/>
    <row r="81" customFormat="1" x14ac:dyDescent="0.35"/>
    <row r="82" customFormat="1" x14ac:dyDescent="0.35"/>
    <row r="83" customFormat="1" x14ac:dyDescent="0.35"/>
    <row r="84" customFormat="1" x14ac:dyDescent="0.35"/>
    <row r="85" customFormat="1" x14ac:dyDescent="0.35"/>
  </sheetData>
  <mergeCells count="11">
    <mergeCell ref="G6:I6"/>
    <mergeCell ref="G8:I13"/>
    <mergeCell ref="R8:T13"/>
    <mergeCell ref="R6:T6"/>
    <mergeCell ref="F1:K1"/>
    <mergeCell ref="Q1:V1"/>
    <mergeCell ref="AA1:AH1"/>
    <mergeCell ref="AD6:AF6"/>
    <mergeCell ref="AD8:AF13"/>
    <mergeCell ref="AO1:AV1"/>
    <mergeCell ref="AR8:AT13"/>
  </mergeCells>
  <dataValidations count="1">
    <dataValidation type="list" allowBlank="1" showInputMessage="1" showErrorMessage="1" sqref="G2 AD2 R2 AR2 AF4 AT4" xr:uid="{00000000-0002-0000-0000-000000000000}">
      <formula1>ContactNames</formula1>
    </dataValidation>
  </dataValidations>
  <pageMargins left="0.7" right="0.7" top="0.75" bottom="0.75" header="0.3" footer="0.3"/>
  <pageSetup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4" name="List Box 16">
              <controlPr defaultSize="0" autoLine="0" autoPict="0" macro="[0]!Contact_Select">
                <anchor moveWithCells="1">
                  <from>
                    <xdr:col>3</xdr:col>
                    <xdr:colOff>0</xdr:colOff>
                    <xdr:row>1</xdr:row>
                    <xdr:rowOff>184150</xdr:rowOff>
                  </from>
                  <to>
                    <xdr:col>51</xdr:col>
                    <xdr:colOff>1098550</xdr:colOff>
                    <xdr:row>12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List Box 20">
              <controlPr defaultSize="0" autoLine="0" autoPict="0" macro="[0]!Email_Load">
                <anchor moveWithCells="1">
                  <from>
                    <xdr:col>3</xdr:col>
                    <xdr:colOff>0</xdr:colOff>
                    <xdr:row>2</xdr:row>
                    <xdr:rowOff>12700</xdr:rowOff>
                  </from>
                  <to>
                    <xdr:col>51</xdr:col>
                    <xdr:colOff>1085850</xdr:colOff>
                    <xdr:row>12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List Box 21">
              <controlPr defaultSize="0" autoLine="0" autoPict="0" macro="[0]!Email_AddAtt">
                <anchor moveWithCells="1">
                  <from>
                    <xdr:col>51</xdr:col>
                    <xdr:colOff>7156450</xdr:colOff>
                    <xdr:row>2</xdr:row>
                    <xdr:rowOff>12700</xdr:rowOff>
                  </from>
                  <to>
                    <xdr:col>51</xdr:col>
                    <xdr:colOff>8337550</xdr:colOff>
                    <xdr:row>12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7" name="List Box 23">
              <controlPr defaultSize="0" autoLine="0" autoPict="0" macro="[0]!Document_Load">
                <anchor moveWithCells="1">
                  <from>
                    <xdr:col>3</xdr:col>
                    <xdr:colOff>0</xdr:colOff>
                    <xdr:row>1</xdr:row>
                    <xdr:rowOff>184150</xdr:rowOff>
                  </from>
                  <to>
                    <xdr:col>51</xdr:col>
                    <xdr:colOff>1079500</xdr:colOff>
                    <xdr:row>12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8" name="List Box 24">
              <controlPr defaultSize="0" autoLine="0" autoPict="0" macro="[0]!Reminder_Load">
                <anchor mov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51</xdr:col>
                    <xdr:colOff>1511300</xdr:colOff>
                    <xdr:row>12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2"/>
  <sheetViews>
    <sheetView workbookViewId="0">
      <selection activeCell="K3" sqref="K3"/>
    </sheetView>
  </sheetViews>
  <sheetFormatPr defaultRowHeight="14.5" x14ac:dyDescent="0.35"/>
  <cols>
    <col min="1" max="1" width="11.7265625" customWidth="1"/>
    <col min="2" max="2" width="11" bestFit="1" customWidth="1"/>
    <col min="3" max="3" width="17.26953125" bestFit="1" customWidth="1"/>
    <col min="4" max="4" width="19.26953125" bestFit="1" customWidth="1"/>
  </cols>
  <sheetData>
    <row r="1" spans="1:4" x14ac:dyDescent="0.35">
      <c r="A1" s="10" t="s">
        <v>40</v>
      </c>
      <c r="B1" s="10" t="s">
        <v>41</v>
      </c>
      <c r="C1" s="10" t="s">
        <v>42</v>
      </c>
      <c r="D1" s="10" t="s">
        <v>43</v>
      </c>
    </row>
    <row r="2" spans="1:4" x14ac:dyDescent="0.35">
      <c r="A2" s="50" t="s">
        <v>44</v>
      </c>
      <c r="B2" s="50"/>
      <c r="C2" s="50"/>
      <c r="D2" s="50"/>
    </row>
    <row r="3" spans="1:4" x14ac:dyDescent="0.35">
      <c r="A3" s="12" t="s">
        <v>5</v>
      </c>
      <c r="B3" s="12" t="s">
        <v>1</v>
      </c>
      <c r="C3" s="12" t="s">
        <v>15</v>
      </c>
      <c r="D3" s="12" t="s">
        <v>3</v>
      </c>
    </row>
    <row r="4" spans="1:4" x14ac:dyDescent="0.35">
      <c r="A4" t="s">
        <v>6</v>
      </c>
      <c r="B4">
        <v>3105558545</v>
      </c>
      <c r="C4" s="19" t="s">
        <v>77</v>
      </c>
    </row>
    <row r="5" spans="1:4" x14ac:dyDescent="0.35">
      <c r="A5" t="s">
        <v>7</v>
      </c>
      <c r="B5">
        <f>B4+50</f>
        <v>3105558595</v>
      </c>
      <c r="C5" s="19" t="s">
        <v>78</v>
      </c>
    </row>
    <row r="6" spans="1:4" x14ac:dyDescent="0.35">
      <c r="A6" t="s">
        <v>8</v>
      </c>
      <c r="B6">
        <f>B5+50</f>
        <v>3105558645</v>
      </c>
      <c r="C6" s="19" t="s">
        <v>79</v>
      </c>
    </row>
    <row r="7" spans="1:4" x14ac:dyDescent="0.35">
      <c r="A7" t="s">
        <v>9</v>
      </c>
      <c r="B7">
        <f>B6+50</f>
        <v>3105558695</v>
      </c>
      <c r="C7" s="19" t="s">
        <v>55</v>
      </c>
    </row>
    <row r="8" spans="1:4" x14ac:dyDescent="0.35">
      <c r="A8" t="s">
        <v>10</v>
      </c>
      <c r="B8">
        <v>3105558745</v>
      </c>
      <c r="C8" s="19" t="s">
        <v>59</v>
      </c>
    </row>
    <row r="9" spans="1:4" x14ac:dyDescent="0.35">
      <c r="A9" t="s">
        <v>11</v>
      </c>
      <c r="B9">
        <v>3105558795</v>
      </c>
      <c r="C9" s="19" t="s">
        <v>60</v>
      </c>
      <c r="D9" t="s">
        <v>61</v>
      </c>
    </row>
    <row r="10" spans="1:4" x14ac:dyDescent="0.35">
      <c r="A10" t="s">
        <v>53</v>
      </c>
      <c r="B10">
        <v>31020020</v>
      </c>
      <c r="C10" s="19" t="s">
        <v>55</v>
      </c>
      <c r="D10" t="s">
        <v>54</v>
      </c>
    </row>
    <row r="11" spans="1:4" x14ac:dyDescent="0.35">
      <c r="A11" t="s">
        <v>96</v>
      </c>
      <c r="C11" t="s">
        <v>97</v>
      </c>
      <c r="D11" t="s">
        <v>54</v>
      </c>
    </row>
    <row r="12" spans="1:4" x14ac:dyDescent="0.35">
      <c r="A12" t="s">
        <v>96</v>
      </c>
      <c r="B12">
        <v>1212121212</v>
      </c>
      <c r="C12" t="s">
        <v>97</v>
      </c>
      <c r="D12" t="s">
        <v>54</v>
      </c>
    </row>
  </sheetData>
  <mergeCells count="1">
    <mergeCell ref="A2:D2"/>
  </mergeCells>
  <hyperlinks>
    <hyperlink ref="C4" r:id="rId1" xr:uid="{00000000-0004-0000-0100-000000000000}"/>
    <hyperlink ref="C5" r:id="rId2" xr:uid="{00000000-0004-0000-0100-000001000000}"/>
    <hyperlink ref="C6" r:id="rId3" xr:uid="{00000000-0004-0000-0100-000002000000}"/>
    <hyperlink ref="C7" r:id="rId4" xr:uid="{00000000-0004-0000-0100-000003000000}"/>
    <hyperlink ref="C8" r:id="rId5" xr:uid="{00000000-0004-0000-0100-000004000000}"/>
    <hyperlink ref="C9" r:id="rId6" xr:uid="{00000000-0004-0000-0100-000005000000}"/>
    <hyperlink ref="C10" r:id="rId7" xr:uid="{00000000-0004-0000-0100-000006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K6"/>
  <sheetViews>
    <sheetView workbookViewId="0">
      <selection activeCell="A6" sqref="A6:E6"/>
    </sheetView>
  </sheetViews>
  <sheetFormatPr defaultRowHeight="14.5" x14ac:dyDescent="0.35"/>
  <cols>
    <col min="11" max="11" width="12.81640625" customWidth="1"/>
    <col min="12" max="12" width="5.81640625" customWidth="1"/>
    <col min="13" max="13" width="11.1796875" customWidth="1"/>
  </cols>
  <sheetData>
    <row r="1" spans="1:11" x14ac:dyDescent="0.35">
      <c r="A1" s="10" t="s">
        <v>36</v>
      </c>
      <c r="B1" s="10" t="s">
        <v>37</v>
      </c>
      <c r="C1" s="10" t="s">
        <v>38</v>
      </c>
      <c r="D1" s="10" t="s">
        <v>39</v>
      </c>
      <c r="E1" s="10"/>
    </row>
    <row r="2" spans="1:11" x14ac:dyDescent="0.35">
      <c r="A2" s="51" t="s">
        <v>34</v>
      </c>
      <c r="B2" s="52"/>
      <c r="C2" s="52"/>
      <c r="D2" s="52"/>
      <c r="E2" s="26"/>
    </row>
    <row r="3" spans="1:11" x14ac:dyDescent="0.35">
      <c r="A3" s="14" t="s">
        <v>5</v>
      </c>
      <c r="B3" s="14" t="s">
        <v>26</v>
      </c>
      <c r="C3" s="14" t="s">
        <v>35</v>
      </c>
      <c r="D3" s="14" t="s">
        <v>3</v>
      </c>
      <c r="E3" s="14"/>
      <c r="K3" s="15"/>
    </row>
    <row r="4" spans="1:11" x14ac:dyDescent="0.35">
      <c r="A4" t="s">
        <v>57</v>
      </c>
      <c r="B4" t="s">
        <v>9</v>
      </c>
      <c r="C4" t="s">
        <v>56</v>
      </c>
      <c r="D4" t="s">
        <v>58</v>
      </c>
    </row>
    <row r="5" spans="1:11" x14ac:dyDescent="0.35">
      <c r="A5" t="s">
        <v>65</v>
      </c>
      <c r="C5" t="s">
        <v>64</v>
      </c>
    </row>
    <row r="6" spans="1:11" x14ac:dyDescent="0.35">
      <c r="A6" t="s">
        <v>57</v>
      </c>
      <c r="B6" t="s">
        <v>8</v>
      </c>
      <c r="C6" t="s">
        <v>56</v>
      </c>
      <c r="D6" t="s">
        <v>54</v>
      </c>
    </row>
  </sheetData>
  <mergeCells count="1">
    <mergeCell ref="A2:D2"/>
  </mergeCells>
  <pageMargins left="0.7" right="0.7" top="0.75" bottom="0.75" header="0.3" footer="0.3"/>
  <pageSetup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E6"/>
  <sheetViews>
    <sheetView workbookViewId="0">
      <selection activeCell="A4" sqref="A4:XFD4"/>
    </sheetView>
  </sheetViews>
  <sheetFormatPr defaultRowHeight="14.5" x14ac:dyDescent="0.35"/>
  <cols>
    <col min="1" max="1" width="9.81640625" bestFit="1" customWidth="1"/>
    <col min="4" max="4" width="19.54296875" customWidth="1"/>
    <col min="5" max="5" width="12.81640625" bestFit="1" customWidth="1"/>
  </cols>
  <sheetData>
    <row r="1" spans="1:5" x14ac:dyDescent="0.35">
      <c r="A1" s="10" t="s">
        <v>46</v>
      </c>
      <c r="B1" s="10" t="s">
        <v>47</v>
      </c>
      <c r="C1" s="10" t="s">
        <v>48</v>
      </c>
      <c r="D1" s="10" t="s">
        <v>49</v>
      </c>
      <c r="E1" s="10" t="s">
        <v>50</v>
      </c>
    </row>
    <row r="2" spans="1:5" x14ac:dyDescent="0.35">
      <c r="A2" s="53" t="s">
        <v>45</v>
      </c>
      <c r="B2" s="53"/>
      <c r="C2" s="53"/>
      <c r="D2" s="53"/>
      <c r="E2" s="53"/>
    </row>
    <row r="3" spans="1:5" x14ac:dyDescent="0.35">
      <c r="A3" s="13" t="s">
        <v>14</v>
      </c>
      <c r="B3" s="13" t="s">
        <v>15</v>
      </c>
      <c r="C3" s="13" t="s">
        <v>16</v>
      </c>
      <c r="D3" s="13" t="s">
        <v>17</v>
      </c>
      <c r="E3" s="13" t="s">
        <v>18</v>
      </c>
    </row>
    <row r="4" spans="1:5" x14ac:dyDescent="0.35">
      <c r="A4" t="s">
        <v>8</v>
      </c>
      <c r="B4" t="s">
        <v>79</v>
      </c>
      <c r="C4" t="s">
        <v>80</v>
      </c>
      <c r="D4" t="s">
        <v>56</v>
      </c>
      <c r="E4" t="s">
        <v>81</v>
      </c>
    </row>
    <row r="5" spans="1:5" x14ac:dyDescent="0.35">
      <c r="A5" t="s">
        <v>8</v>
      </c>
      <c r="B5" t="s">
        <v>79</v>
      </c>
      <c r="C5" t="s">
        <v>82</v>
      </c>
      <c r="D5" t="s">
        <v>64</v>
      </c>
      <c r="E5" t="s">
        <v>82</v>
      </c>
    </row>
    <row r="6" spans="1:5" x14ac:dyDescent="0.35">
      <c r="A6" t="s">
        <v>8</v>
      </c>
      <c r="B6" t="s">
        <v>79</v>
      </c>
      <c r="C6" t="s">
        <v>80</v>
      </c>
      <c r="D6" t="s">
        <v>64</v>
      </c>
      <c r="E6" t="s">
        <v>81</v>
      </c>
    </row>
  </sheetData>
  <mergeCells count="1">
    <mergeCell ref="A2:E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39"/>
  <sheetViews>
    <sheetView workbookViewId="0">
      <selection activeCell="D4" sqref="D4"/>
    </sheetView>
  </sheetViews>
  <sheetFormatPr defaultRowHeight="14.5" x14ac:dyDescent="0.35"/>
  <cols>
    <col min="1" max="1" width="14.81640625" bestFit="1" customWidth="1"/>
    <col min="2" max="2" width="12.26953125" customWidth="1"/>
    <col min="3" max="3" width="13.7265625" customWidth="1"/>
    <col min="4" max="4" width="13.54296875" customWidth="1"/>
    <col min="5" max="5" width="13.7265625" customWidth="1"/>
    <col min="6" max="6" width="40.7265625" bestFit="1" customWidth="1"/>
  </cols>
  <sheetData>
    <row r="1" spans="1:6" x14ac:dyDescent="0.35">
      <c r="A1" s="10" t="s">
        <v>28</v>
      </c>
      <c r="B1" s="10" t="s">
        <v>29</v>
      </c>
      <c r="C1" s="21" t="s">
        <v>30</v>
      </c>
      <c r="D1" s="10" t="s">
        <v>31</v>
      </c>
      <c r="E1" s="10" t="s">
        <v>32</v>
      </c>
    </row>
    <row r="2" spans="1:6" x14ac:dyDescent="0.35">
      <c r="A2" s="54" t="s">
        <v>33</v>
      </c>
      <c r="B2" s="54"/>
      <c r="C2" s="54"/>
      <c r="D2" s="54"/>
      <c r="E2" s="54"/>
      <c r="F2" t="str">
        <f>A2&amp;" on "&amp;TEXT(C2,"dd/mm/yyyy")&amp;" at "&amp;TEXT(D2,"h:mm AM/PM")</f>
        <v>Reminders Database on 00/01/1900 at 12:00 am</v>
      </c>
    </row>
    <row r="3" spans="1:6" x14ac:dyDescent="0.35">
      <c r="A3" s="11" t="s">
        <v>25</v>
      </c>
      <c r="B3" s="11" t="s">
        <v>26</v>
      </c>
      <c r="C3" s="11" t="s">
        <v>23</v>
      </c>
      <c r="D3" s="11" t="s">
        <v>24</v>
      </c>
      <c r="E3" s="11" t="s">
        <v>27</v>
      </c>
      <c r="F3" s="22" t="s">
        <v>87</v>
      </c>
    </row>
    <row r="4" spans="1:6" x14ac:dyDescent="0.35">
      <c r="A4" t="s">
        <v>83</v>
      </c>
      <c r="B4" t="s">
        <v>6</v>
      </c>
      <c r="C4" s="20">
        <v>43831</v>
      </c>
      <c r="D4" s="23">
        <v>0.33333333333333331</v>
      </c>
      <c r="E4" t="s">
        <v>84</v>
      </c>
      <c r="F4" t="str">
        <f t="shared" ref="F4:F6" si="0">A4&amp;" on "&amp;TEXT(C4,"dd/mm/yyyy")&amp;" at "&amp;TEXT(D4,"h:mm AM/PM")</f>
        <v>Call Fred on 01/01/2020 at 8:00 am</v>
      </c>
    </row>
    <row r="5" spans="1:6" x14ac:dyDescent="0.35">
      <c r="A5" t="s">
        <v>85</v>
      </c>
      <c r="B5" t="s">
        <v>7</v>
      </c>
      <c r="C5" s="20">
        <v>43850</v>
      </c>
      <c r="D5" s="23">
        <v>0.33333333333333331</v>
      </c>
      <c r="E5" t="s">
        <v>86</v>
      </c>
      <c r="F5" t="str">
        <f t="shared" si="0"/>
        <v>Call David on 20/01/2020 at 8:00 am</v>
      </c>
    </row>
    <row r="6" spans="1:6" x14ac:dyDescent="0.35">
      <c r="A6" t="s">
        <v>88</v>
      </c>
      <c r="B6" t="s">
        <v>7</v>
      </c>
      <c r="C6" s="20">
        <v>43850</v>
      </c>
      <c r="D6" s="23">
        <v>0.70833333333333337</v>
      </c>
      <c r="E6" t="s">
        <v>89</v>
      </c>
      <c r="F6" t="str">
        <f t="shared" si="0"/>
        <v>Davids Meeting on 20/01/2020 at 5:00 pm</v>
      </c>
    </row>
    <row r="7" spans="1:6" x14ac:dyDescent="0.35">
      <c r="A7" t="s">
        <v>98</v>
      </c>
      <c r="B7" t="s">
        <v>6</v>
      </c>
      <c r="C7" s="20">
        <v>43831</v>
      </c>
      <c r="D7" s="23">
        <v>0.33333333333333331</v>
      </c>
      <c r="E7" t="s">
        <v>99</v>
      </c>
      <c r="F7" t="str">
        <f>A7&amp;" on "&amp;TEXT(C7,"dd/mm/yyyy")&amp;" at "&amp;TEXT(D7,"h:mm AM/PM")</f>
        <v>Meeting with Fred on 01/01/2020 at 8:00 am</v>
      </c>
    </row>
    <row r="8" spans="1:6" x14ac:dyDescent="0.35">
      <c r="D8" s="23"/>
      <c r="F8" s="3"/>
    </row>
    <row r="9" spans="1:6" x14ac:dyDescent="0.35">
      <c r="D9" s="23"/>
    </row>
    <row r="10" spans="1:6" x14ac:dyDescent="0.35">
      <c r="D10" s="23"/>
    </row>
    <row r="11" spans="1:6" x14ac:dyDescent="0.35">
      <c r="D11" s="23"/>
    </row>
    <row r="12" spans="1:6" x14ac:dyDescent="0.35">
      <c r="D12" s="23"/>
    </row>
    <row r="13" spans="1:6" x14ac:dyDescent="0.35">
      <c r="D13" s="23"/>
    </row>
    <row r="14" spans="1:6" x14ac:dyDescent="0.35">
      <c r="D14" s="23"/>
    </row>
    <row r="15" spans="1:6" x14ac:dyDescent="0.35">
      <c r="D15" s="23"/>
    </row>
    <row r="16" spans="1:6" x14ac:dyDescent="0.35">
      <c r="D16" s="23"/>
    </row>
    <row r="17" spans="4:4" x14ac:dyDescent="0.35">
      <c r="D17" s="23"/>
    </row>
    <row r="18" spans="4:4" x14ac:dyDescent="0.35">
      <c r="D18" s="23"/>
    </row>
    <row r="19" spans="4:4" x14ac:dyDescent="0.35">
      <c r="D19" s="23"/>
    </row>
    <row r="20" spans="4:4" x14ac:dyDescent="0.35">
      <c r="D20" s="23"/>
    </row>
    <row r="21" spans="4:4" x14ac:dyDescent="0.35">
      <c r="D21" s="23"/>
    </row>
    <row r="22" spans="4:4" x14ac:dyDescent="0.35">
      <c r="D22" s="23"/>
    </row>
    <row r="23" spans="4:4" x14ac:dyDescent="0.35">
      <c r="D23" s="23"/>
    </row>
    <row r="24" spans="4:4" x14ac:dyDescent="0.35">
      <c r="D24" s="23"/>
    </row>
    <row r="25" spans="4:4" x14ac:dyDescent="0.35">
      <c r="D25" s="23"/>
    </row>
    <row r="26" spans="4:4" x14ac:dyDescent="0.35">
      <c r="D26" s="23"/>
    </row>
    <row r="27" spans="4:4" x14ac:dyDescent="0.35">
      <c r="D27" s="23"/>
    </row>
    <row r="28" spans="4:4" x14ac:dyDescent="0.35">
      <c r="D28" s="23"/>
    </row>
    <row r="29" spans="4:4" x14ac:dyDescent="0.35">
      <c r="D29" s="23"/>
    </row>
    <row r="30" spans="4:4" x14ac:dyDescent="0.35">
      <c r="D30" s="23"/>
    </row>
    <row r="31" spans="4:4" x14ac:dyDescent="0.35">
      <c r="D31" s="23"/>
    </row>
    <row r="32" spans="4:4" x14ac:dyDescent="0.35">
      <c r="D32" s="23"/>
    </row>
    <row r="33" spans="4:4" x14ac:dyDescent="0.35">
      <c r="D33" s="23"/>
    </row>
    <row r="34" spans="4:4" x14ac:dyDescent="0.35">
      <c r="D34" s="23"/>
    </row>
    <row r="35" spans="4:4" x14ac:dyDescent="0.35">
      <c r="D35" s="23"/>
    </row>
    <row r="36" spans="4:4" x14ac:dyDescent="0.35">
      <c r="D36" s="23"/>
    </row>
    <row r="37" spans="4:4" x14ac:dyDescent="0.35">
      <c r="D37" s="23"/>
    </row>
    <row r="38" spans="4:4" x14ac:dyDescent="0.35">
      <c r="D38" s="23"/>
    </row>
    <row r="39" spans="4:4" x14ac:dyDescent="0.35">
      <c r="D39" s="23"/>
    </row>
  </sheetData>
  <mergeCells count="1">
    <mergeCell ref="A2:E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Mini-CRM</vt:lpstr>
      <vt:lpstr>Contacts</vt:lpstr>
      <vt:lpstr>Documents</vt:lpstr>
      <vt:lpstr>Emails</vt:lpstr>
      <vt:lpstr>Reminder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</dc:creator>
  <cp:lastModifiedBy>Sean Smith</cp:lastModifiedBy>
  <dcterms:created xsi:type="dcterms:W3CDTF">2020-09-03T22:15:02Z</dcterms:created>
  <dcterms:modified xsi:type="dcterms:W3CDTF">2020-12-22T03:33:28Z</dcterms:modified>
</cp:coreProperties>
</file>